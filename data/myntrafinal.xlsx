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envyj\Documents\"/>
    </mc:Choice>
  </mc:AlternateContent>
  <xr:revisionPtr revIDLastSave="0" documentId="8_{3A220568-91B8-4EF7-9BC7-CD7D6D0FB86E}" xr6:coauthVersionLast="47" xr6:coauthVersionMax="47" xr10:uidLastSave="{00000000-0000-0000-0000-000000000000}"/>
  <bookViews>
    <workbookView xWindow="-98" yWindow="-98" windowWidth="21795" windowHeight="12975" tabRatio="680" xr2:uid="{00000000-000D-0000-FFFF-FFFF00000000}"/>
  </bookViews>
  <sheets>
    <sheet name="Products" sheetId="1" r:id="rId1"/>
    <sheet name="Size_Charts" sheetId="2" r:id="rId2"/>
    <sheet name="Reviews" sheetId="3" r:id="rId3"/>
    <sheet name="Comparitive_analysis" sheetId="4" r:id="rId4"/>
    <sheet name="Brand_size_analysis" sheetId="5" r:id="rId5"/>
    <sheet name="Brand_size_avg" sheetId="6" r:id="rId6"/>
  </sheets>
  <definedNames>
    <definedName name="_xlnm._FilterDatabase" localSheetId="5" hidden="1">Brand_size_avg!$A$14:$B$22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6" l="1"/>
  <c r="L4" i="6"/>
  <c r="L5" i="6"/>
  <c r="L6" i="6"/>
  <c r="L7" i="6"/>
  <c r="L8" i="6"/>
  <c r="L9" i="6"/>
  <c r="L2" i="6"/>
  <c r="J3" i="6"/>
  <c r="J4" i="6"/>
  <c r="J5" i="6"/>
  <c r="J6" i="6"/>
  <c r="J7" i="6"/>
  <c r="J8" i="6"/>
  <c r="J9" i="6"/>
  <c r="J2" i="6"/>
  <c r="K3" i="6"/>
  <c r="K4" i="6"/>
  <c r="K5" i="6"/>
  <c r="K6" i="6"/>
  <c r="K7" i="6"/>
  <c r="K8" i="6"/>
  <c r="K9" i="6"/>
  <c r="K2" i="6"/>
  <c r="I3" i="6"/>
  <c r="I4" i="6"/>
  <c r="I5" i="6"/>
  <c r="I6" i="6"/>
  <c r="I7" i="6"/>
  <c r="I8" i="6"/>
  <c r="I9" i="6"/>
  <c r="I2" i="6"/>
  <c r="B2" i="6"/>
  <c r="C2" i="6"/>
  <c r="B3" i="6"/>
  <c r="C3" i="6"/>
  <c r="D3" i="6"/>
  <c r="E3" i="6"/>
  <c r="F3" i="6"/>
  <c r="B4" i="6"/>
  <c r="C4" i="6"/>
  <c r="D4" i="6"/>
  <c r="E4" i="6"/>
  <c r="F4" i="6"/>
  <c r="G4" i="6"/>
  <c r="H4" i="6"/>
  <c r="B5" i="6"/>
  <c r="C5" i="6"/>
  <c r="D5" i="6"/>
  <c r="E5" i="6"/>
  <c r="F5" i="6"/>
  <c r="B6" i="6"/>
  <c r="C6" i="6"/>
  <c r="D6" i="6"/>
  <c r="E6" i="6"/>
  <c r="F6" i="6"/>
  <c r="G6" i="6"/>
  <c r="B7" i="6"/>
  <c r="C7" i="6"/>
  <c r="D7" i="6"/>
  <c r="E7" i="6"/>
  <c r="B8" i="6"/>
  <c r="C8" i="6"/>
  <c r="D8" i="6"/>
  <c r="E8" i="6"/>
  <c r="F8" i="6"/>
  <c r="B9" i="6"/>
  <c r="C9" i="6"/>
  <c r="D9" i="6"/>
  <c r="E9" i="6"/>
  <c r="F9" i="6"/>
  <c r="D2" i="6"/>
  <c r="E2" i="6"/>
  <c r="F2" i="6"/>
</calcChain>
</file>

<file path=xl/sharedStrings.xml><?xml version="1.0" encoding="utf-8"?>
<sst xmlns="http://schemas.openxmlformats.org/spreadsheetml/2006/main" count="1735" uniqueCount="261">
  <si>
    <t>Brand</t>
  </si>
  <si>
    <t>Product_Name</t>
  </si>
  <si>
    <t>Category</t>
  </si>
  <si>
    <t>Price</t>
  </si>
  <si>
    <t>Sizes_Available</t>
  </si>
  <si>
    <t>Product_URL</t>
  </si>
  <si>
    <t>Notes</t>
  </si>
  <si>
    <t>Size</t>
  </si>
  <si>
    <t>Chest_CM</t>
  </si>
  <si>
    <t>Waist_CM</t>
  </si>
  <si>
    <t>Length_CM</t>
  </si>
  <si>
    <t>Source_URL</t>
  </si>
  <si>
    <t>Review_Text</t>
  </si>
  <si>
    <t>Rating</t>
  </si>
  <si>
    <t>Size_Mentioned</t>
  </si>
  <si>
    <t>Fit_Feedback</t>
  </si>
  <si>
    <t>T-Shirts</t>
  </si>
  <si>
    <t>S, M, L, XL, XXL</t>
  </si>
  <si>
    <t>S</t>
  </si>
  <si>
    <t>N/A</t>
  </si>
  <si>
    <t>M</t>
  </si>
  <si>
    <t>L</t>
  </si>
  <si>
    <t>XL</t>
  </si>
  <si>
    <t>XXL</t>
  </si>
  <si>
    <t>No</t>
  </si>
  <si>
    <t>Runs Small</t>
  </si>
  <si>
    <t>Yes</t>
  </si>
  <si>
    <t>True to Size</t>
  </si>
  <si>
    <t>XS</t>
  </si>
  <si>
    <t>Runs Large</t>
  </si>
  <si>
    <t>Adidas</t>
  </si>
  <si>
    <t>Adidas Brand Logo Print Detail Sports T-Shirt</t>
  </si>
  <si>
    <t>XS, S, M, L, XL, XXL</t>
  </si>
  <si>
    <t>https://www.myntra.com/tshirts/adidas/adidas-brand-logo-print-detail-sports-t-shirt/29564784/buy</t>
  </si>
  <si>
    <t>Logo print sports tee, casual fit</t>
  </si>
  <si>
    <t>“Comfortable tee with bold logo. Fit exactly as expected.”</t>
  </si>
  <si>
    <t>“Ordered M, true fit, breathable.”</t>
  </si>
  <si>
    <t>“A bit loose around the waist, but overall good.”</t>
  </si>
  <si>
    <t>Puma</t>
  </si>
  <si>
    <t>Puma Men Slim Fit Polo T-Shirt</t>
  </si>
  <si>
    <t>XS, S, M, L, XL, XXL, 3XL, 4XL</t>
  </si>
  <si>
    <t>https://www.myntra.com/tshirts/puma/puma-men-slim-fit-polo-t-shirt/30850259/buy</t>
  </si>
  <si>
    <t>Slim fit, polo collar, cotton blend</t>
  </si>
  <si>
    <t>3XL</t>
  </si>
  <si>
    <t>4XL</t>
  </si>
  <si>
    <t>Soft breathable fabric, true to size fit.</t>
  </si>
  <si>
    <t>Excellent quality, snug shoulders, perfect fit.</t>
  </si>
  <si>
    <t>Material blend not pure cotton, not as expected.</t>
  </si>
  <si>
    <t>H&amp;M</t>
  </si>
  <si>
    <t>H&amp;M Men White Solid Cotton Pure Cotton T-shirt Regular Fit</t>
  </si>
  <si>
    <t>https://www.myntra.com/tshirts/h%26m/hm-men-white-solid-cotton-pure-cotton-t-shirt-regular-fit/11468714/buy</t>
  </si>
  <si>
    <t>Regular Fit, Pure Cotton</t>
  </si>
  <si>
    <t>The fit is excellent, offering a classic and flattering silhouette. The cut is just right, not too tight or too loose.</t>
  </si>
  <si>
    <t>Fit &amp; Comfort: The ‘Regular Fit’ is spot on. It’s not a slim-fit muscle tee, nor is it a baggy, oversized shirt. It just fits.</t>
  </si>
  <si>
    <t>Perfect Fit</t>
  </si>
  <si>
    <t>The fit is relaxed yet well-structured, giving a neat and modern look without feeling tight.</t>
  </si>
  <si>
    <t>Roadster</t>
  </si>
  <si>
    <t>The Roadster Lifestyle Co Men Navy Blue Solid Polo Collar T-shirt</t>
  </si>
  <si>
    <t>S, M, L, XL</t>
  </si>
  <si>
    <t>https://www.myntra.com/tshirts/roadster/the-roadster-lifestyle-co-men-navy-blue-solid-polo-collar-t-shirt/10943272/buy</t>
  </si>
  <si>
    <t>Polo Collar, Regular Fit</t>
  </si>
  <si>
    <t>The fit is perfect, true to size and very comfortable.</t>
  </si>
  <si>
    <t>Material is good but the fit runs a little small, order one size up.</t>
  </si>
  <si>
    <t>Looks stylish, fits exactly as expected.</t>
  </si>
  <si>
    <t>Initially ordered one size less, exchanged to XL. For the price it’s very good. Order sizes that are loose, not exact to body size.</t>
  </si>
  <si>
    <t>Fitting is different from HERE &amp; NOW. Tight at neck, too loose at biceps and slightly loose overall despite same measurements.</t>
  </si>
  <si>
    <t>Beautiful material and fabulous purchase. Bought size S for a special person. Must buy.</t>
  </si>
  <si>
    <t>Mast &amp; Harbour</t>
  </si>
  <si>
    <t>Mast &amp; Harbour Men Coral Pink Striped Polo Collar Cotton T-shirt</t>
  </si>
  <si>
    <t>https://www.myntra.com/tshirts/mast+%26+harbour/mast--harbour-men-coral-pink-striped-polo-collar-cotton-t-shirt/4149433/buy</t>
  </si>
  <si>
    <t>Polo Collar, Cotton, Regular Fit</t>
  </si>
  <si>
    <t>Bought it for my father, quality is very soft and comforting and the size was perfect for him.</t>
  </si>
  <si>
    <t>Be it color or fabric, it’s outstanding. True to size and gives a vibrant look.</t>
  </si>
  <si>
    <t>Quality is a little low. M and L differ only in length, chest and shoulders feel the same.</t>
  </si>
  <si>
    <t>WROGN</t>
  </si>
  <si>
    <t>WROGN Men White &amp; Blue Printed Slim Fit Polo Collar Cotton T-shirt</t>
  </si>
  <si>
    <t>https://www.myntra.com/tshirts/wrogn/wrogn-men-white--blue-printed-slim-fit-polo-collar--cotton-t-shirt/11363324/buy</t>
  </si>
  <si>
    <t>Slim Fit, Polo Collar, Cotton</t>
  </si>
  <si>
    <t>Absolutely perfect but the middle button does not fit well and doesn’t look good.</t>
  </si>
  <si>
    <t>Fitting is good, material is better and brand quality is as expected from WROGN.</t>
  </si>
  <si>
    <t>Product is amazing. Good fit, great quality and best price.</t>
  </si>
  <si>
    <t>Levi’s</t>
  </si>
  <si>
    <t>Levi’s Men Soft Pure Cotton Round Neck Half Sleeve T-shirt</t>
  </si>
  <si>
    <t>https://www.myntra.com/lounge-tshirts/levis/levis-men-soft-pure-cotton-round-neck-half-sleeve-tshirt/12027436/buy</t>
  </si>
  <si>
    <t>Pure Cotton, Round Neck, Regular Fit</t>
  </si>
  <si>
    <t>Quality is outstanding with soft and comfortable fabric. Fit is perfect, true to size, and looks good even after multiple washes.</t>
  </si>
  <si>
    <t>Fabric feels soft and breathable. Fit is mostly accurate, neither too tight nor too loose. Good value for money.</t>
  </si>
  <si>
    <t>Size S is perfect in length but shoulder and chest are too big, needed alteration.</t>
  </si>
  <si>
    <t>https://www.myntra.com/lounge-tshirts/levis/levis-men-pure-cotton-v-neck-short-sleeve-tshirt/12027434/buy</t>
  </si>
  <si>
    <t>Levi’s Men Pure Cotton V-Neck Short Sleeve T-shirt</t>
  </si>
  <si>
    <t>Pure Cotton, V-Neck, Regular Fit, Lounge Wear</t>
  </si>
  <si>
    <t>Good quality, very comfortable and smooth. Bought for my dad and it fits right, but XXL should be available for elders.</t>
  </si>
  <si>
    <t>Super soft pure cotton with premium feel. Fit is just right, not too tight or loose, and holds well after washes.</t>
  </si>
  <si>
    <t>Perfect cotton thickness, color matches pictures and the fit is perfect. Loved the product.</t>
  </si>
  <si>
    <t>The Roadster Life Co Polo Collar T-Shirt</t>
  </si>
  <si>
    <t>XS, S, M, L, XL, XXL, 3XL</t>
  </si>
  <si>
    <t>https://www.myntra.com/tshirts/roadster/the-roadster-life-co-polo-collar-t-shirt/1996801/buy</t>
  </si>
  <si>
    <t>HERE &amp; NOW</t>
  </si>
  <si>
    <t>HERE &amp; NOW Round Neck Long Sleeves Regular Fit T-Shirt</t>
  </si>
  <si>
    <t>M, L, XL</t>
  </si>
  <si>
    <t>https://www.myntra.com/tshirts/here%26now/herenow-round-neck-long-sleeves-regular-fit-t-shirt/37686350/buy</t>
  </si>
  <si>
    <t>Round Neck, Long Sleeves, Regular Fit</t>
  </si>
  <si>
    <t>Nice product, fitting is as expected and fabric quality is good.</t>
  </si>
  <si>
    <t>Very good quality, soft fabric, fits perfectly and looks stylish for daily wear.</t>
  </si>
  <si>
    <t>Soft and comfortable for all-day wear, fitting is perfect and worth the price.</t>
  </si>
  <si>
    <t>Levi’s Pure Cotton Slim Fit Casual Shirt</t>
  </si>
  <si>
    <t>Shirts</t>
  </si>
  <si>
    <t>https://www.myntra.com/shirts/levis/levis-pure-cotton-slim-fit-casual-shirt/32257172/buy</t>
  </si>
  <si>
    <t>Slim Fit, Pure Cotton</t>
  </si>
  <si>
    <t>Levi’s Pure Cotton Solid Slim Fit Opaque Casual Shirt</t>
  </si>
  <si>
    <t>S, M, L, XL, XXL, 3XL</t>
  </si>
  <si>
    <t>https://www.myntra.com/shirts/levis/levis-pure-cotton-solid-slim-fit-opaque-casual-shirt/25756898/buy</t>
  </si>
  <si>
    <t>Slim Fit, Opaque</t>
  </si>
  <si>
    <t>Highlander</t>
  </si>
  <si>
    <t>Highlander Men Dusty Checked Slim Fit Shirt</t>
  </si>
  <si>
    <t>https://www.myntra.com/shirts/highlander/highlander-men-dusty-checked-slim-fit-shirt/28086692/buy</t>
  </si>
  <si>
    <t>Slim Fit, Checked</t>
  </si>
  <si>
    <t>Puma Holiday Short Sleeved Shirt</t>
  </si>
  <si>
    <t>https://www.myntra.com/shirts/puma/puma-holiday-short-sleeved-shirts/25227528/buy</t>
  </si>
  <si>
    <t>Short Sleeve, Casual</t>
  </si>
  <si>
    <t>H&amp;M Regular Fit Textured Resort Shirt</t>
  </si>
  <si>
    <t>https://www.myntra.com/shirts/h%26m/hm-regular-fit-textured-resort-shirt/32676063/buy</t>
  </si>
  <si>
    <t>Regular Fit, Resort</t>
  </si>
  <si>
    <t>Roadster Cotton Full Sleeve Shirt</t>
  </si>
  <si>
    <t>https://www.myntra.com/shirts/roadster/the-roadster-lifestyle-co--cotton-full-sleeve-shirts/29936231/buy</t>
  </si>
  <si>
    <t>Full Sleeve, Cotton</t>
  </si>
  <si>
    <t>Roadster Men Black Pure Cotton Casual Shirt</t>
  </si>
  <si>
    <t>https://www.myntra.com/shirts/roadster/roadster-men-black-pure-cotton-casual-shirt/2127876/buy</t>
  </si>
  <si>
    <t>Casual, Pure Cotton</t>
  </si>
  <si>
    <t>Mast &amp; Harbour Men Standard Opaque Casual Shirt</t>
  </si>
  <si>
    <t>https://www.myntra.com/shirts/mast+%26+harbour/mast--harbour-men-standard-opaque-casual-cotton-shirt/23413772/buy</t>
  </si>
  <si>
    <t>Opaque, Casual</t>
  </si>
  <si>
    <t>WROGN Men White Slim Fit Casual Shirt</t>
  </si>
  <si>
    <t>https://www.myntra.com/shirts/wrogn/wrogn-men-white-slim-fit-casual-shirt/12220176/buy</t>
  </si>
  <si>
    <t>Slim Fit</t>
  </si>
  <si>
    <t>HERE &amp; NOW Slim Fit Vertical Striped Casual Shirt</t>
  </si>
  <si>
    <t>38, 40, 42, 44, 46</t>
  </si>
  <si>
    <t>https://www.myntra.com/shirts/here%26now/herenow-slim-fit-vertical-striped-opaque-casual-shirt/34018180/buy</t>
  </si>
  <si>
    <t>Slim Fit, Striped</t>
  </si>
  <si>
    <t>Very good quality. Size well fitted to me. My height is 5ft 5inch with tummy.</t>
  </si>
  <si>
    <t>Very nice product and good fitting.</t>
  </si>
  <si>
    <t>Fabric is very soft and comfortable, fit is also good. I bought S size.</t>
  </si>
  <si>
    <t>High-quality materials, sleek design, fits perfectly and offers great value for money.</t>
  </si>
  <si>
    <t>Shirt is very comfortable and fitting is as expected. Wrinkled on delivery, needs ironing.</t>
  </si>
  <si>
    <t>Product is nice and comfortable to wear. Fitting is fine.</t>
  </si>
  <si>
    <t>Fabric is soft and breathable, fits true to size, flattering cut.</t>
  </si>
  <si>
    <t>Tailored fit, stylish, color did not fade and held shape well.</t>
  </si>
  <si>
    <t>Excellent quality, neat stitching, versatile for casual and semi-formal wear.</t>
  </si>
  <si>
    <t>Very good and comfortable to wear. Thank you Myntra.</t>
  </si>
  <si>
    <t>XL size is too large.</t>
  </si>
  <si>
    <t>Shirt is of good material.</t>
  </si>
  <si>
    <t>Shirt looks good and fits well. Regular fit, order one size smaller if between sizes.</t>
  </si>
  <si>
    <t>Fitting as expected.</t>
  </si>
  <si>
    <t>Fit, fabric quality and color are top notch. Highly recommended.</t>
  </si>
  <si>
    <t>Excellent quality, true to size, perfect everyday and office wear.</t>
  </si>
  <si>
    <t>Rich color, soft fabric, premium feel. Highly recommended.</t>
  </si>
  <si>
    <t>Size guide misleading. Had to stick with actual size. Product is awesome.</t>
  </si>
  <si>
    <t>Exceeded expectations, soft fabric, true to size, versatile and stylish.</t>
  </si>
  <si>
    <t>Stylish and comfortable, breathable fabric, vibrant colors.</t>
  </si>
  <si>
    <t>Quality is good but order one size larger.</t>
  </si>
  <si>
    <t>True to size, fits well around chest and shoulders, breathable fabric.</t>
  </si>
  <si>
    <t>Soft cotton, durable, versatile and stylish.</t>
  </si>
  <si>
    <t>Comfortable fit, neat stitching, good for office and casual wear.</t>
  </si>
  <si>
    <t>Linen blend is breathable, premium look, fit is true to size.</t>
  </si>
  <si>
    <t>Perfect fit, impressive fabric quality and stitching.</t>
  </si>
  <si>
    <t>Size too large initially, exchanged product.</t>
  </si>
  <si>
    <t>Fit is just right, best to go one size up if between sizes.</t>
  </si>
  <si>
    <t>Fabric is soft and comfortable, looks premium.</t>
  </si>
  <si>
    <t>Excellent value for money, fit and color exactly as shown.</t>
  </si>
  <si>
    <t>Levi’s Self Design Top</t>
  </si>
  <si>
    <t>Tops</t>
  </si>
  <si>
    <t>XS, S, M, L, XL</t>
  </si>
  <si>
    <t>https://www.myntra.com/tops/levis/levis-self-design-top/32258942/buy</t>
  </si>
  <si>
    <t>Self Design, Casual</t>
  </si>
  <si>
    <t>Adidas Club Tennis Tank Top</t>
  </si>
  <si>
    <t>https://www.myntra.com/tops/adidas/adidas-club-tennis-tank-top/23718962/buy</t>
  </si>
  <si>
    <t>Sports, Tank</t>
  </si>
  <si>
    <t>Puma Women Long Sleeve Thermal T-Shirt</t>
  </si>
  <si>
    <t>Thermal Tops</t>
  </si>
  <si>
    <t>XXS, XS, S, M, L, XL, XXL</t>
  </si>
  <si>
    <t>https://www.myntra.com/thermal-tops/puma/puma-women-long-sleeve-thermal-t-shirt-with-drycell-technology/20673222/buy</t>
  </si>
  <si>
    <t>Thermal, DryCELL</t>
  </si>
  <si>
    <t>H&amp;M Draped Cap Sleeved Top</t>
  </si>
  <si>
    <t>https://www.myntra.com/tops/h%26m/hm-draped-cap-sleeved-top/35141059/buy</t>
  </si>
  <si>
    <t>Draped, Office</t>
  </si>
  <si>
    <t>Roadster Women Rust Red Self Design Top</t>
  </si>
  <si>
    <t>https://www.myntra.com/tops/roadster/roadster-women-rust-red-self-design-top/4317332/buy</t>
  </si>
  <si>
    <t>Casual</t>
  </si>
  <si>
    <t>Roadster Women Black Ribbed Top</t>
  </si>
  <si>
    <t>https://www.myntra.com/tops/roadster/roadster-women-black-ribbed-top/11401674/buy</t>
  </si>
  <si>
    <t>Ribbed</t>
  </si>
  <si>
    <t>Mast &amp; Harbour Black Striped Boxy Top</t>
  </si>
  <si>
    <t>https://www.myntra.com/tops/mast+%26+harbour/mast--harbour-black-striped-extended-sleeves-boxy-top/24383738/buy</t>
  </si>
  <si>
    <t>Boxy Fit</t>
  </si>
  <si>
    <t>HERE &amp; NOW Printed Bohemian Longline Top</t>
  </si>
  <si>
    <t>https://www.myntra.com/tops/here%26now/herenow-printed-mandarin-collar-roll-up-sleeves-bohemian-longline-top/21486076/buy</t>
  </si>
  <si>
    <t>Longline</t>
  </si>
  <si>
    <t>HERE &amp; NOW Candy Store Striped Top</t>
  </si>
  <si>
    <t>https://www.myntra.com/tops/here%26now/herenow-candy-store-multi-toned-striped-top/8922917/buy</t>
  </si>
  <si>
    <t>H&amp;M Cropped Vest Top</t>
  </si>
  <si>
    <t>https://www.myntra.com/tops/h%26m/hm-cropped-vest-top/21678936/buy</t>
  </si>
  <si>
    <t>Cropped</t>
  </si>
  <si>
    <t>XXS</t>
  </si>
  <si>
    <t>Super pretty top.</t>
  </si>
  <si>
    <t>Loved the top.</t>
  </si>
  <si>
    <t>Very nice fit.</t>
  </si>
  <si>
    <t>Awesome fit, super comfortable.</t>
  </si>
  <si>
    <t>Great fit, highly recommend.</t>
  </si>
  <si>
    <t>Fit is good but material is thin.</t>
  </si>
  <si>
    <t>Good quality but not suitable for heavy winters.</t>
  </si>
  <si>
    <t>Soft, thin but warm, good for Delhi winter.</t>
  </si>
  <si>
    <t>Fabric is good and comfortable, suited for mild winter.</t>
  </si>
  <si>
    <t>Fits perfectly, recommend one size up.</t>
  </si>
  <si>
    <t>Stylish and elegant, great for office and outings.</t>
  </si>
  <si>
    <t>Fits well, recommend ordering one size larger.</t>
  </si>
  <si>
    <t>Quality is good, size perfect, very comfortable.</t>
  </si>
  <si>
    <t>Fit and length perfect, color different but gorgeous.</t>
  </si>
  <si>
    <t>Loose around shoulder and bust, buy one size smaller.</t>
  </si>
  <si>
    <t>Stretchy fabric makes bust look bigger, returned.</t>
  </si>
  <si>
    <t>Soft fabric, perfect fit, worth the price.</t>
  </si>
  <si>
    <t>Comfortable, stylish, color doesn’t fade.</t>
  </si>
  <si>
    <t>Fit is true to size and flattering.</t>
  </si>
  <si>
    <t>Perfect fit, very flattering, lots of compliments.</t>
  </si>
  <si>
    <t>M fit better than L, quality is very good.</t>
  </si>
  <si>
    <t>HERE &amp; NOW Bohemian Longline Top</t>
  </si>
  <si>
    <t>Fabric light, comfortable, ordered one size up.</t>
  </si>
  <si>
    <t>Nice print, loose fit, good for tummy area.</t>
  </si>
  <si>
    <t>Cotton shrinks, recommend slightly larger size.</t>
  </si>
  <si>
    <t>Loose fit, buy one size larger.</t>
  </si>
  <si>
    <t>Lightweight, perfect for formal and casual wear.</t>
  </si>
  <si>
    <t>Ordered M but it was big, shoulders large.</t>
  </si>
  <si>
    <t>Stretchy fabric, go one size smaller.</t>
  </si>
  <si>
    <t>Perfect fit for plus size, very flattering.</t>
  </si>
  <si>
    <t>Stylish, comfortable, great everyday wear.</t>
  </si>
  <si>
    <t>Feature</t>
  </si>
  <si>
    <t>Myntra</t>
  </si>
  <si>
    <t>AJIO</t>
  </si>
  <si>
    <t>Amazon Fashion</t>
  </si>
  <si>
    <t>Zara</t>
  </si>
  <si>
    <t>Size guide visibility</t>
  </si>
  <si>
    <t>Static link</t>
  </si>
  <si>
    <t>Inline + expandable</t>
  </si>
  <si>
    <t>Detailed page</t>
  </si>
  <si>
    <t>Size recommendation</t>
  </si>
  <si>
    <t>❌</t>
  </si>
  <si>
    <t>✅ “Recommended size”</t>
  </si>
  <si>
    <t>Fit feedback from reviews</t>
  </si>
  <si>
    <t>✅ “Customers say runs small/large”</t>
  </si>
  <si>
    <t>Brand-specific sizing notes</t>
  </si>
  <si>
    <t>Partial</t>
  </si>
  <si>
    <t>✅</t>
  </si>
  <si>
    <t>Size comparison across brands</t>
  </si>
  <si>
    <t>Virtual try-on</t>
  </si>
  <si>
    <t>Buried (unstructured)</t>
  </si>
  <si>
    <t>Std_Dev</t>
  </si>
  <si>
    <t>CV</t>
  </si>
  <si>
    <t>Mean_Chest</t>
  </si>
  <si>
    <t>Consistency_Flag</t>
  </si>
  <si>
    <t>Fit_tag</t>
  </si>
  <si>
    <t>Review_text</t>
  </si>
  <si>
    <t>Not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</si>
</sst>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u/>
      <sz val="11"/>
      <color theme="10"/>
      <name val="Calibri"/>
      <family val="2"/>
      <scheme val="minor"/>
    </font>
    <font>
      <b/>
      <sz val="11"/>
      <color theme="1"/>
      <name val="Calibri"/>
      <family val="2"/>
      <scheme val="minor"/>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FFC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0" borderId="0" xfId="0" applyAlignment="1">
      <alignment vertical="center" wrapText="1"/>
    </xf>
    <xf numFmtId="0" fontId="2" fillId="0" borderId="0" xfId="1" applyAlignment="1">
      <alignment vertical="center" wrapText="1"/>
    </xf>
    <xf numFmtId="0" fontId="3" fillId="0" borderId="0" xfId="0" applyFont="1" applyAlignment="1">
      <alignment horizontal="center" vertical="center" wrapText="1"/>
    </xf>
    <xf numFmtId="0" fontId="3" fillId="0" borderId="0" xfId="0" applyFont="1"/>
    <xf numFmtId="0" fontId="0" fillId="0" borderId="0" xfId="0" applyAlignment="1">
      <alignment horizontal="center" vertical="center"/>
    </xf>
    <xf numFmtId="10"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Brand-wise Size Inconsistency (CV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Brand_size_avg!$B$14</c:f>
              <c:strCache>
                <c:ptCount val="1"/>
                <c:pt idx="0">
                  <c:v>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Brand_size_avg!$A$15:$A$22</c:f>
              <c:strCache>
                <c:ptCount val="8"/>
                <c:pt idx="0">
                  <c:v>Puma</c:v>
                </c:pt>
                <c:pt idx="1">
                  <c:v>Adidas</c:v>
                </c:pt>
                <c:pt idx="2">
                  <c:v>Roadster</c:v>
                </c:pt>
                <c:pt idx="3">
                  <c:v>H&amp;M</c:v>
                </c:pt>
                <c:pt idx="4">
                  <c:v>Levi’s</c:v>
                </c:pt>
                <c:pt idx="5">
                  <c:v>HERE &amp; NOW</c:v>
                </c:pt>
                <c:pt idx="6">
                  <c:v>WROGN</c:v>
                </c:pt>
                <c:pt idx="7">
                  <c:v>Mast &amp; Harbour</c:v>
                </c:pt>
              </c:strCache>
            </c:strRef>
          </c:cat>
          <c:val>
            <c:numRef>
              <c:f>Brand_size_avg!$B$15:$B$22</c:f>
              <c:numCache>
                <c:formatCode>0.00%</c:formatCode>
                <c:ptCount val="8"/>
                <c:pt idx="0">
                  <c:v>0.1825</c:v>
                </c:pt>
                <c:pt idx="1">
                  <c:v>0.12529999999999999</c:v>
                </c:pt>
                <c:pt idx="2">
                  <c:v>0.125</c:v>
                </c:pt>
                <c:pt idx="3">
                  <c:v>0.12429999999999999</c:v>
                </c:pt>
                <c:pt idx="4">
                  <c:v>0.11210000000000001</c:v>
                </c:pt>
                <c:pt idx="5">
                  <c:v>0.08</c:v>
                </c:pt>
                <c:pt idx="6">
                  <c:v>7.9899999999999999E-2</c:v>
                </c:pt>
                <c:pt idx="7">
                  <c:v>6.9099999999999995E-2</c:v>
                </c:pt>
              </c:numCache>
            </c:numRef>
          </c:val>
          <c:extLst>
            <c:ext xmlns:c16="http://schemas.microsoft.com/office/drawing/2014/chart" uri="{C3380CC4-5D6E-409C-BE32-E72D297353CC}">
              <c16:uniqueId val="{00000000-4D2D-4248-870D-4E3A1405B342}"/>
            </c:ext>
          </c:extLst>
        </c:ser>
        <c:dLbls>
          <c:dLblPos val="outEnd"/>
          <c:showLegendKey val="0"/>
          <c:showVal val="1"/>
          <c:showCatName val="0"/>
          <c:showSerName val="0"/>
          <c:showPercent val="0"/>
          <c:showBubbleSize val="0"/>
        </c:dLbls>
        <c:gapWidth val="219"/>
        <c:overlap val="-27"/>
        <c:axId val="1847125823"/>
        <c:axId val="1847132063"/>
      </c:barChart>
      <c:catAx>
        <c:axId val="184712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32063"/>
        <c:crosses val="autoZero"/>
        <c:auto val="1"/>
        <c:lblAlgn val="ctr"/>
        <c:lblOffset val="100"/>
        <c:noMultiLvlLbl val="0"/>
      </c:catAx>
      <c:valAx>
        <c:axId val="18471320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2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862013</xdr:colOff>
      <xdr:row>10</xdr:row>
      <xdr:rowOff>52387</xdr:rowOff>
    </xdr:from>
    <xdr:ext cx="2752725" cy="264560"/>
    <xdr:sp macro="" textlink="">
      <xdr:nvSpPr>
        <xdr:cNvPr id="2" name="TextBox 1">
          <a:extLst>
            <a:ext uri="{FF2B5EF4-FFF2-40B4-BE49-F238E27FC236}">
              <a16:creationId xmlns:a16="http://schemas.microsoft.com/office/drawing/2014/main" id="{E140B77B-2FAD-119F-CCDE-D9B4EEBED2B2}"/>
            </a:ext>
          </a:extLst>
        </xdr:cNvPr>
        <xdr:cNvSpPr txBox="1"/>
      </xdr:nvSpPr>
      <xdr:spPr>
        <a:xfrm>
          <a:off x="862013" y="3495675"/>
          <a:ext cx="27527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19049</xdr:colOff>
      <xdr:row>6</xdr:row>
      <xdr:rowOff>414337</xdr:rowOff>
    </xdr:from>
    <xdr:to>
      <xdr:col>4</xdr:col>
      <xdr:colOff>804863</xdr:colOff>
      <xdr:row>17</xdr:row>
      <xdr:rowOff>28574</xdr:rowOff>
    </xdr:to>
    <xdr:sp macro="" textlink="">
      <xdr:nvSpPr>
        <xdr:cNvPr id="4097" name="Text Box 1">
          <a:extLst>
            <a:ext uri="{FF2B5EF4-FFF2-40B4-BE49-F238E27FC236}">
              <a16:creationId xmlns:a16="http://schemas.microsoft.com/office/drawing/2014/main" id="{098B368E-D900-7372-1A0D-DC64715B8261}"/>
            </a:ext>
          </a:extLst>
        </xdr:cNvPr>
        <xdr:cNvSpPr txBox="1">
          <a:spLocks noChangeArrowheads="1"/>
        </xdr:cNvSpPr>
      </xdr:nvSpPr>
      <xdr:spPr bwMode="auto">
        <a:xfrm>
          <a:off x="19049" y="2900362"/>
          <a:ext cx="6081714" cy="1838325"/>
        </a:xfrm>
        <a:prstGeom prst="rect">
          <a:avLst/>
        </a:prstGeom>
        <a:solidFill>
          <a:srgbClr val="FFFFFF"/>
        </a:solidFill>
        <a:ln w="9525">
          <a:solidFill>
            <a:srgbClr val="000000"/>
          </a:solidFill>
          <a:miter lim="800000"/>
          <a:headEnd/>
          <a:tailEnd/>
        </a:ln>
      </xdr:spPr>
      <xdr:txBody>
        <a:bodyPr vertOverflow="clip" wrap="square" lIns="45720" tIns="45720" rIns="0" bIns="0" anchor="t" upright="1"/>
        <a:lstStyle/>
        <a:p>
          <a:pPr algn="l" rtl="0">
            <a:defRPr sz="1000"/>
          </a:pPr>
          <a:r>
            <a:rPr lang="en-IN" sz="1400" b="1" i="0" u="none" strike="noStrike" baseline="0">
              <a:solidFill>
                <a:srgbClr val="000000"/>
              </a:solidFill>
              <a:latin typeface="Calibri"/>
              <a:ea typeface="Calibri"/>
              <a:cs typeface="Calibri"/>
            </a:rPr>
            <a:t>Competitor insights:</a:t>
          </a:r>
        </a:p>
        <a:p>
          <a:pPr algn="l" rtl="0">
            <a:defRPr sz="1000"/>
          </a:pPr>
          <a:r>
            <a:rPr lang="en-IN" sz="1400" b="1" i="0" u="none" strike="noStrike" baseline="0">
              <a:solidFill>
                <a:srgbClr val="000000"/>
              </a:solidFill>
              <a:latin typeface="Calibri"/>
              <a:ea typeface="Calibri"/>
              <a:cs typeface="Calibri"/>
            </a:rPr>
            <a:t>1) Across major fashion platforms, sizing information is present but varies significantly in how it is surfaced to users.</a:t>
          </a:r>
        </a:p>
        <a:p>
          <a:pPr algn="l" rtl="0">
            <a:defRPr sz="1000"/>
          </a:pPr>
          <a:r>
            <a:rPr lang="en-IN" sz="1400" b="1" i="0" u="none" strike="noStrike" baseline="0">
              <a:solidFill>
                <a:srgbClr val="000000"/>
              </a:solidFill>
              <a:latin typeface="Calibri"/>
              <a:ea typeface="Calibri"/>
              <a:cs typeface="Calibri"/>
            </a:rPr>
            <a:t>2) Amazon converts review-level fit feedback into structured, inline signals like “Customers say runs small/large,” while Myntra relies on static size charts with unstructured reviews buried below.</a:t>
          </a:r>
        </a:p>
        <a:p>
          <a:pPr algn="l" rtl="0">
            <a:defRPr sz="1000"/>
          </a:pPr>
          <a:r>
            <a:rPr lang="en-IN" sz="1400" b="1" i="0" u="none" strike="noStrike" baseline="0">
              <a:solidFill>
                <a:srgbClr val="000000"/>
              </a:solidFill>
              <a:latin typeface="Calibri"/>
              <a:ea typeface="Calibri"/>
              <a:cs typeface="Calibri"/>
            </a:rPr>
            <a:t>3) As a result, Myntra possesses sizing data but fails to translate it into real-time purchase guidance, increasing customer uncertainty at the decision point.</a:t>
          </a:r>
        </a:p>
      </xdr:txBody>
    </xdr:sp>
    <xdr:clientData/>
  </xdr:twoCellAnchor>
  <xdr:oneCellAnchor>
    <xdr:from>
      <xdr:col>0</xdr:col>
      <xdr:colOff>0</xdr:colOff>
      <xdr:row>17</xdr:row>
      <xdr:rowOff>142875</xdr:rowOff>
    </xdr:from>
    <xdr:ext cx="6390263" cy="655949"/>
    <xdr:sp macro="" textlink="">
      <xdr:nvSpPr>
        <xdr:cNvPr id="3" name="TextBox 2">
          <a:extLst>
            <a:ext uri="{FF2B5EF4-FFF2-40B4-BE49-F238E27FC236}">
              <a16:creationId xmlns:a16="http://schemas.microsoft.com/office/drawing/2014/main" id="{9C78C516-9D05-5CA5-4697-1D0CB0C4DB07}"/>
            </a:ext>
          </a:extLst>
        </xdr:cNvPr>
        <xdr:cNvSpPr txBox="1"/>
      </xdr:nvSpPr>
      <xdr:spPr>
        <a:xfrm>
          <a:off x="0" y="4852988"/>
          <a:ext cx="6390263"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Myntra users face uncertainty while selecting the right size because sizing information is limited to static size charts and unstructured reviews, which leads to incorrect size selection and higher likelihood of returns.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645318</xdr:colOff>
      <xdr:row>9</xdr:row>
      <xdr:rowOff>176213</xdr:rowOff>
    </xdr:from>
    <xdr:to>
      <xdr:col>10</xdr:col>
      <xdr:colOff>35718</xdr:colOff>
      <xdr:row>25</xdr:row>
      <xdr:rowOff>23813</xdr:rowOff>
    </xdr:to>
    <xdr:graphicFrame macro="">
      <xdr:nvGraphicFramePr>
        <xdr:cNvPr id="2" name="Chart 1">
          <a:extLst>
            <a:ext uri="{FF2B5EF4-FFF2-40B4-BE49-F238E27FC236}">
              <a16:creationId xmlns:a16="http://schemas.microsoft.com/office/drawing/2014/main" id="{667C853B-EF56-4853-9633-33D4ED892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yntra.com/lounge-tshirts/levis/levis-men-pure-cotton-v-neck-short-sleeve-tshirt/12027434/buy" TargetMode="External"/><Relationship Id="rId13" Type="http://schemas.openxmlformats.org/officeDocument/2006/relationships/hyperlink" Target="https://www.myntra.com/shirts/highlander/highlander-men-dusty-checked-slim-fit-shirt/28086692/buy" TargetMode="External"/><Relationship Id="rId18" Type="http://schemas.openxmlformats.org/officeDocument/2006/relationships/hyperlink" Target="https://www.myntra.com/shirts/mast+%26+harbour/mast--harbour-men-standard-opaque-casual-cotton-shirt/23413772/buy" TargetMode="External"/><Relationship Id="rId26" Type="http://schemas.openxmlformats.org/officeDocument/2006/relationships/hyperlink" Target="https://www.myntra.com/tops/roadster/roadster-women-black-ribbed-top/11401674/buy" TargetMode="External"/><Relationship Id="rId3" Type="http://schemas.openxmlformats.org/officeDocument/2006/relationships/hyperlink" Target="https://www.myntra.com/tshirts/h%26m/hm-men-white-solid-cotton-pure-cotton-t-shirt-regular-fit/11468714/buy" TargetMode="External"/><Relationship Id="rId21" Type="http://schemas.openxmlformats.org/officeDocument/2006/relationships/hyperlink" Target="https://www.myntra.com/tops/levis/levis-self-design-top/32258942/buy" TargetMode="External"/><Relationship Id="rId7" Type="http://schemas.openxmlformats.org/officeDocument/2006/relationships/hyperlink" Target="https://www.myntra.com/lounge-tshirts/levis/levis-men-soft-pure-cotton-round-neck-half-sleeve-tshirt/12027436/buy" TargetMode="External"/><Relationship Id="rId12" Type="http://schemas.openxmlformats.org/officeDocument/2006/relationships/hyperlink" Target="https://www.myntra.com/shirts/levis/levis-pure-cotton-solid-slim-fit-opaque-casual-shirt/25756898/buy" TargetMode="External"/><Relationship Id="rId17" Type="http://schemas.openxmlformats.org/officeDocument/2006/relationships/hyperlink" Target="https://www.myntra.com/shirts/roadster/roadster-men-black-pure-cotton-casual-shirt/2127876/buy" TargetMode="External"/><Relationship Id="rId25" Type="http://schemas.openxmlformats.org/officeDocument/2006/relationships/hyperlink" Target="https://www.myntra.com/tops/roadster/roadster-women-rust-red-self-design-top/4317332/buy" TargetMode="External"/><Relationship Id="rId2" Type="http://schemas.openxmlformats.org/officeDocument/2006/relationships/hyperlink" Target="https://www.myntra.com/tshirts/puma/puma-men-slim-fit-polo-t-shirt/30850259/buy" TargetMode="External"/><Relationship Id="rId16" Type="http://schemas.openxmlformats.org/officeDocument/2006/relationships/hyperlink" Target="https://www.myntra.com/shirts/roadster/the-roadster-lifestyle-co--cotton-full-sleeve-shirts/29936231/buy" TargetMode="External"/><Relationship Id="rId20" Type="http://schemas.openxmlformats.org/officeDocument/2006/relationships/hyperlink" Target="https://www.myntra.com/shirts/here%26now/herenow-slim-fit-vertical-striped-opaque-casual-shirt/34018180/buy" TargetMode="External"/><Relationship Id="rId29" Type="http://schemas.openxmlformats.org/officeDocument/2006/relationships/hyperlink" Target="https://www.myntra.com/tops/here%26now/herenow-candy-store-multi-toned-striped-top/8922917/buy" TargetMode="External"/><Relationship Id="rId1" Type="http://schemas.openxmlformats.org/officeDocument/2006/relationships/hyperlink" Target="https://www.myntra.com/tshirts/adidas/adidas-brand-logo-print-detail-sports-t-shirt/29564784/buy" TargetMode="External"/><Relationship Id="rId6" Type="http://schemas.openxmlformats.org/officeDocument/2006/relationships/hyperlink" Target="https://www.myntra.com/tshirts/wrogn/wrogn-men-white--blue-printed-slim-fit-polo-collar--cotton-t-shirt/11363324/buy" TargetMode="External"/><Relationship Id="rId11" Type="http://schemas.openxmlformats.org/officeDocument/2006/relationships/hyperlink" Target="https://www.myntra.com/shirts/levis/levis-pure-cotton-slim-fit-casual-shirt/32257172/buy" TargetMode="External"/><Relationship Id="rId24" Type="http://schemas.openxmlformats.org/officeDocument/2006/relationships/hyperlink" Target="https://www.myntra.com/tops/h%26m/hm-draped-cap-sleeved-top/35141059/buy" TargetMode="External"/><Relationship Id="rId5" Type="http://schemas.openxmlformats.org/officeDocument/2006/relationships/hyperlink" Target="https://www.myntra.com/tshirts/mast+%26+harbour/mast--harbour-men-coral-pink-striped-polo-collar-cotton-t-shirt/4149433/buy" TargetMode="External"/><Relationship Id="rId15" Type="http://schemas.openxmlformats.org/officeDocument/2006/relationships/hyperlink" Target="https://www.myntra.com/shirts/h%26m/hm-regular-fit-textured-resort-shirt/32676063/buy" TargetMode="External"/><Relationship Id="rId23" Type="http://schemas.openxmlformats.org/officeDocument/2006/relationships/hyperlink" Target="https://www.myntra.com/thermal-tops/puma/puma-women-long-sleeve-thermal-t-shirt-with-drycell-technology/20673222/buy" TargetMode="External"/><Relationship Id="rId28" Type="http://schemas.openxmlformats.org/officeDocument/2006/relationships/hyperlink" Target="https://www.myntra.com/tops/here%26now/herenow-printed-mandarin-collar-roll-up-sleeves-bohemian-longline-top/21486076/buy" TargetMode="External"/><Relationship Id="rId10" Type="http://schemas.openxmlformats.org/officeDocument/2006/relationships/hyperlink" Target="https://www.myntra.com/tshirts/here%26now/herenow-round-neck-long-sleeves-regular-fit-t-shirt/37686350/buy" TargetMode="External"/><Relationship Id="rId19" Type="http://schemas.openxmlformats.org/officeDocument/2006/relationships/hyperlink" Target="https://www.myntra.com/shirts/wrogn/wrogn-men-white-slim-fit-casual-shirt/12220176/buy" TargetMode="External"/><Relationship Id="rId31" Type="http://schemas.openxmlformats.org/officeDocument/2006/relationships/printerSettings" Target="../printerSettings/printerSettings1.bin"/><Relationship Id="rId4" Type="http://schemas.openxmlformats.org/officeDocument/2006/relationships/hyperlink" Target="https://www.myntra.com/tshirts/roadster/the-roadster-lifestyle-co-men-navy-blue-solid-polo-collar-t-shirt/10943272/buy" TargetMode="External"/><Relationship Id="rId9" Type="http://schemas.openxmlformats.org/officeDocument/2006/relationships/hyperlink" Target="https://www.myntra.com/tshirts/roadster/the-roadster-life-co-polo-collar-t-shirt/1996801/buy" TargetMode="External"/><Relationship Id="rId14" Type="http://schemas.openxmlformats.org/officeDocument/2006/relationships/hyperlink" Target="https://www.myntra.com/shirts/puma/puma-holiday-short-sleeved-shirts/25227528/buy" TargetMode="External"/><Relationship Id="rId22" Type="http://schemas.openxmlformats.org/officeDocument/2006/relationships/hyperlink" Target="https://www.myntra.com/tops/adidas/adidas-club-tennis-tank-top/23718962/buy" TargetMode="External"/><Relationship Id="rId27" Type="http://schemas.openxmlformats.org/officeDocument/2006/relationships/hyperlink" Target="https://www.myntra.com/tops/mast+%26+harbour/mast--harbour-black-striped-extended-sleeves-boxy-top/24383738/buy" TargetMode="External"/><Relationship Id="rId30" Type="http://schemas.openxmlformats.org/officeDocument/2006/relationships/hyperlink" Target="https://www.myntra.com/tops/h%26m/hm-cropped-vest-top/21678936/buy"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myntra.com/tops/adidas/adidas-club-tennis-tank-top/23718962/buy" TargetMode="External"/><Relationship Id="rId21" Type="http://schemas.openxmlformats.org/officeDocument/2006/relationships/hyperlink" Target="https://www.myntra.com/tshirts/wrogn/wrogn-men-white--blue-printed-slim-fit-polo-collar--cotton-t-shirt/11363324/buy" TargetMode="External"/><Relationship Id="rId42" Type="http://schemas.openxmlformats.org/officeDocument/2006/relationships/hyperlink" Target="https://www.myntra.com/tshirts/roadster/the-roadster-life-co-polo-collar-t-shirt/1996801/buy" TargetMode="External"/><Relationship Id="rId63" Type="http://schemas.openxmlformats.org/officeDocument/2006/relationships/hyperlink" Target="https://www.myntra.com/shirts/highlander/highlander-men-dusty-checked-slim-fit-shirt/28086692/buy" TargetMode="External"/><Relationship Id="rId84" Type="http://schemas.openxmlformats.org/officeDocument/2006/relationships/hyperlink" Target="https://www.myntra.com/shirts/roadster/roadster-men-black-pure-cotton-casual-shirt/2127876/buy" TargetMode="External"/><Relationship Id="rId138" Type="http://schemas.openxmlformats.org/officeDocument/2006/relationships/hyperlink" Target="https://www.myntra.com/tops/h%26m/hm-cropped-vest-top/21678936/buy" TargetMode="External"/><Relationship Id="rId16" Type="http://schemas.openxmlformats.org/officeDocument/2006/relationships/hyperlink" Target="https://www.myntra.com/tshirts/mast+%26+harbour/mast--harbour-men-coral-pink-striped-polo-collar-cotton-t-shirt/4149433/buy" TargetMode="External"/><Relationship Id="rId107" Type="http://schemas.openxmlformats.org/officeDocument/2006/relationships/hyperlink" Target="https://www.myntra.com/tops/roadster/roadster-women-black-ribbed-top/11401674/buy" TargetMode="External"/><Relationship Id="rId11" Type="http://schemas.openxmlformats.org/officeDocument/2006/relationships/hyperlink" Target="https://www.myntra.com/tshirts/h%26m/hm-men-white-solid-cotton-pure-cotton-t-shirt-regular-fit/11468714/buy" TargetMode="External"/><Relationship Id="rId32" Type="http://schemas.openxmlformats.org/officeDocument/2006/relationships/hyperlink" Target="https://www.myntra.com/tshirts/roadster/the-roadster-lifestyle-co-men-navy-blue-solid-polo-collar-t-shirt/10943272/buy" TargetMode="External"/><Relationship Id="rId37" Type="http://schemas.openxmlformats.org/officeDocument/2006/relationships/hyperlink" Target="https://www.myntra.com/tshirts/roadster/the-roadster-life-co-polo-collar-t-shirt/1996801/buy" TargetMode="External"/><Relationship Id="rId53" Type="http://schemas.openxmlformats.org/officeDocument/2006/relationships/hyperlink" Target="https://www.myntra.com/shirts/levis/levis-pure-cotton-slim-fit-casual-shirt/32257172/buy" TargetMode="External"/><Relationship Id="rId58" Type="http://schemas.openxmlformats.org/officeDocument/2006/relationships/hyperlink" Target="https://www.myntra.com/shirts/levis/levis-pure-cotton-solid-slim-fit-opaque-casual-shirt/25756898/buy" TargetMode="External"/><Relationship Id="rId74" Type="http://schemas.openxmlformats.org/officeDocument/2006/relationships/hyperlink" Target="https://www.myntra.com/shirts/h%26m/hm-regular-fit-textured-resort-shirt/32676063/buy" TargetMode="External"/><Relationship Id="rId79" Type="http://schemas.openxmlformats.org/officeDocument/2006/relationships/hyperlink" Target="https://www.myntra.com/shirts/roadster/the-roadster-lifestyle-co--cotton-full-sleeve-shirts/29936231/buy" TargetMode="External"/><Relationship Id="rId102" Type="http://schemas.openxmlformats.org/officeDocument/2006/relationships/hyperlink" Target="https://www.myntra.com/tops/levis/levis-self-design-top/32258942/buy" TargetMode="External"/><Relationship Id="rId123" Type="http://schemas.openxmlformats.org/officeDocument/2006/relationships/hyperlink" Target="https://www.myntra.com/thermal-tops/puma/puma-women-long-sleeve-thermal-t-shirt-with-drycell-technology/20673222/buy" TargetMode="External"/><Relationship Id="rId128" Type="http://schemas.openxmlformats.org/officeDocument/2006/relationships/hyperlink" Target="https://www.myntra.com/tops/h%26m/hm-draped-cap-sleeved-top/35141059/buy" TargetMode="External"/><Relationship Id="rId5" Type="http://schemas.openxmlformats.org/officeDocument/2006/relationships/hyperlink" Target="https://www.myntra.com/tshirts/puma/puma-men-slim-fit-polo-t-shirt/30850259/buy" TargetMode="External"/><Relationship Id="rId90" Type="http://schemas.openxmlformats.org/officeDocument/2006/relationships/hyperlink" Target="https://www.myntra.com/shirts/mast+%26+harbour/mast--harbour-men-standard-opaque-casual-cotton-shirt/23413772/buy" TargetMode="External"/><Relationship Id="rId95" Type="http://schemas.openxmlformats.org/officeDocument/2006/relationships/hyperlink" Target="https://www.myntra.com/shirts/wrogn/wrogn-men-white-slim-fit-casual-shirt/12220176/buy" TargetMode="External"/><Relationship Id="rId22" Type="http://schemas.openxmlformats.org/officeDocument/2006/relationships/hyperlink" Target="https://www.myntra.com/tshirts/wrogn/wrogn-men-white--blue-printed-slim-fit-polo-collar--cotton-t-shirt/11363324/buy" TargetMode="External"/><Relationship Id="rId27" Type="http://schemas.openxmlformats.org/officeDocument/2006/relationships/hyperlink" Target="https://www.myntra.com/lounge-tshirts/levis/levis-men-pure-cotton-v-neck-short-sleeve-tshirt/12027434/buy" TargetMode="External"/><Relationship Id="rId43" Type="http://schemas.openxmlformats.org/officeDocument/2006/relationships/hyperlink" Target="https://www.myntra.com/tshirts/adidas/adidas-brand-logo-print-detail-sports-t-shirt/29564784/buy" TargetMode="External"/><Relationship Id="rId48" Type="http://schemas.openxmlformats.org/officeDocument/2006/relationships/hyperlink" Target="https://www.myntra.com/tshirts/adidas/adidas-brand-logo-print-detail-sports-t-shirt/29564784/buy" TargetMode="External"/><Relationship Id="rId64" Type="http://schemas.openxmlformats.org/officeDocument/2006/relationships/hyperlink" Target="https://www.myntra.com/shirts/highlander/highlander-men-dusty-checked-slim-fit-shirt/28086692/buy" TargetMode="External"/><Relationship Id="rId69" Type="http://schemas.openxmlformats.org/officeDocument/2006/relationships/hyperlink" Target="https://www.myntra.com/shirts/puma/puma-holiday-short-sleeved-shirts/25227528/buy" TargetMode="External"/><Relationship Id="rId113" Type="http://schemas.openxmlformats.org/officeDocument/2006/relationships/hyperlink" Target="https://www.myntra.com/tops/levis/levis-self-design-top/32258942/buy" TargetMode="External"/><Relationship Id="rId118" Type="http://schemas.openxmlformats.org/officeDocument/2006/relationships/hyperlink" Target="https://www.myntra.com/tops/adidas/adidas-club-tennis-tank-top/23718962/buy" TargetMode="External"/><Relationship Id="rId134" Type="http://schemas.openxmlformats.org/officeDocument/2006/relationships/hyperlink" Target="https://www.myntra.com/tops/here%26now/herenow-printed-mandarin-collar-roll-up-sleeves-bohemian-longline-top/21486076/buy" TargetMode="External"/><Relationship Id="rId80" Type="http://schemas.openxmlformats.org/officeDocument/2006/relationships/hyperlink" Target="https://www.myntra.com/shirts/roadster/the-roadster-lifestyle-co--cotton-full-sleeve-shirts/29936231/buy" TargetMode="External"/><Relationship Id="rId85" Type="http://schemas.openxmlformats.org/officeDocument/2006/relationships/hyperlink" Target="https://www.myntra.com/shirts/roadster/roadster-men-black-pure-cotton-casual-shirt/2127876/buy" TargetMode="External"/><Relationship Id="rId12" Type="http://schemas.openxmlformats.org/officeDocument/2006/relationships/hyperlink" Target="https://www.myntra.com/tshirts/h%26m/hm-men-white-solid-cotton-pure-cotton-t-shirt-regular-fit/11468714/buy" TargetMode="External"/><Relationship Id="rId17" Type="http://schemas.openxmlformats.org/officeDocument/2006/relationships/hyperlink" Target="https://www.myntra.com/tshirts/mast+%26+harbour/mast--harbour-men-coral-pink-striped-polo-collar-cotton-t-shirt/4149433/buy" TargetMode="External"/><Relationship Id="rId33" Type="http://schemas.openxmlformats.org/officeDocument/2006/relationships/hyperlink" Target="https://www.myntra.com/tshirts/roadster/the-roadster-lifestyle-co-men-navy-blue-solid-polo-collar-t-shirt/10943272/buy" TargetMode="External"/><Relationship Id="rId38" Type="http://schemas.openxmlformats.org/officeDocument/2006/relationships/hyperlink" Target="https://www.myntra.com/tshirts/roadster/the-roadster-life-co-polo-collar-t-shirt/1996801/buy" TargetMode="External"/><Relationship Id="rId59" Type="http://schemas.openxmlformats.org/officeDocument/2006/relationships/hyperlink" Target="https://www.myntra.com/shirts/levis/levis-pure-cotton-solid-slim-fit-opaque-casual-shirt/25756898/buy" TargetMode="External"/><Relationship Id="rId103" Type="http://schemas.openxmlformats.org/officeDocument/2006/relationships/hyperlink" Target="https://www.myntra.com/tops/adidas/adidas-club-tennis-tank-top/23718962/buy" TargetMode="External"/><Relationship Id="rId108" Type="http://schemas.openxmlformats.org/officeDocument/2006/relationships/hyperlink" Target="https://www.myntra.com/tops/mast+%26+harbour/mast--harbour-black-striped-extended-sleeves-boxy-top/24383738/buy" TargetMode="External"/><Relationship Id="rId124" Type="http://schemas.openxmlformats.org/officeDocument/2006/relationships/hyperlink" Target="https://www.myntra.com/thermal-tops/puma/puma-women-long-sleeve-thermal-t-shirt-with-drycell-technology/20673222/buy" TargetMode="External"/><Relationship Id="rId129" Type="http://schemas.openxmlformats.org/officeDocument/2006/relationships/hyperlink" Target="https://www.myntra.com/tops/h%26m/hm-draped-cap-sleeved-top/35141059/buy" TargetMode="External"/><Relationship Id="rId54" Type="http://schemas.openxmlformats.org/officeDocument/2006/relationships/hyperlink" Target="https://www.myntra.com/shirts/levis/levis-pure-cotton-slim-fit-casual-shirt/32257172/buy" TargetMode="External"/><Relationship Id="rId70" Type="http://schemas.openxmlformats.org/officeDocument/2006/relationships/hyperlink" Target="https://www.myntra.com/shirts/puma/puma-holiday-short-sleeved-shirts/25227528/buy" TargetMode="External"/><Relationship Id="rId75" Type="http://schemas.openxmlformats.org/officeDocument/2006/relationships/hyperlink" Target="https://www.myntra.com/shirts/h%26m/hm-regular-fit-textured-resort-shirt/32676063/buy" TargetMode="External"/><Relationship Id="rId91" Type="http://schemas.openxmlformats.org/officeDocument/2006/relationships/hyperlink" Target="https://www.myntra.com/shirts/mast+%26+harbour/mast--harbour-men-standard-opaque-casual-cotton-shirt/23413772/buy" TargetMode="External"/><Relationship Id="rId96" Type="http://schemas.openxmlformats.org/officeDocument/2006/relationships/hyperlink" Target="https://www.myntra.com/shirts/wrogn/wrogn-men-white-slim-fit-casual-shirt/12220176/buy" TargetMode="External"/><Relationship Id="rId1" Type="http://schemas.openxmlformats.org/officeDocument/2006/relationships/hyperlink" Target="https://www.myntra.com/tshirts/puma/puma-men-slim-fit-polo-t-shirt/30850259/buy" TargetMode="External"/><Relationship Id="rId6" Type="http://schemas.openxmlformats.org/officeDocument/2006/relationships/hyperlink" Target="https://www.myntra.com/tshirts/puma/puma-men-slim-fit-polo-t-shirt/30850259/buy" TargetMode="External"/><Relationship Id="rId23" Type="http://schemas.openxmlformats.org/officeDocument/2006/relationships/hyperlink" Target="https://www.myntra.com/lounge-tshirts/levis/levis-men-soft-pure-cotton-round-neck-half-sleeve-tshirt/12027436/buy" TargetMode="External"/><Relationship Id="rId28" Type="http://schemas.openxmlformats.org/officeDocument/2006/relationships/hyperlink" Target="https://www.myntra.com/lounge-tshirts/levis/levis-men-pure-cotton-v-neck-short-sleeve-tshirt/12027434/buy" TargetMode="External"/><Relationship Id="rId49" Type="http://schemas.openxmlformats.org/officeDocument/2006/relationships/hyperlink" Target="https://www.myntra.com/tshirts/here%26now/herenow-round-neck-long-sleeves-regular-fit-t-shirt/37686350/buy" TargetMode="External"/><Relationship Id="rId114" Type="http://schemas.openxmlformats.org/officeDocument/2006/relationships/hyperlink" Target="https://www.myntra.com/tops/levis/levis-self-design-top/32258942/buy" TargetMode="External"/><Relationship Id="rId119" Type="http://schemas.openxmlformats.org/officeDocument/2006/relationships/hyperlink" Target="https://www.myntra.com/tops/adidas/adidas-club-tennis-tank-top/23718962/buy" TargetMode="External"/><Relationship Id="rId44" Type="http://schemas.openxmlformats.org/officeDocument/2006/relationships/hyperlink" Target="https://www.myntra.com/tshirts/adidas/adidas-brand-logo-print-detail-sports-t-shirt/29564784/buy" TargetMode="External"/><Relationship Id="rId60" Type="http://schemas.openxmlformats.org/officeDocument/2006/relationships/hyperlink" Target="https://www.myntra.com/shirts/levis/levis-pure-cotton-solid-slim-fit-opaque-casual-shirt/25756898/buy" TargetMode="External"/><Relationship Id="rId65" Type="http://schemas.openxmlformats.org/officeDocument/2006/relationships/hyperlink" Target="https://www.myntra.com/shirts/highlander/highlander-men-dusty-checked-slim-fit-shirt/28086692/buy" TargetMode="External"/><Relationship Id="rId81" Type="http://schemas.openxmlformats.org/officeDocument/2006/relationships/hyperlink" Target="https://www.myntra.com/shirts/roadster/the-roadster-lifestyle-co--cotton-full-sleeve-shirts/29936231/buy" TargetMode="External"/><Relationship Id="rId86" Type="http://schemas.openxmlformats.org/officeDocument/2006/relationships/hyperlink" Target="https://www.myntra.com/shirts/roadster/roadster-men-black-pure-cotton-casual-shirt/2127876/buy" TargetMode="External"/><Relationship Id="rId130" Type="http://schemas.openxmlformats.org/officeDocument/2006/relationships/hyperlink" Target="https://www.myntra.com/tops/h%26m/hm-draped-cap-sleeved-top/35141059/buy" TargetMode="External"/><Relationship Id="rId135" Type="http://schemas.openxmlformats.org/officeDocument/2006/relationships/hyperlink" Target="https://www.myntra.com/tops/mast+%26+harbour/mast--harbour-black-striped-extended-sleeves-boxy-top/24383738/buy" TargetMode="External"/><Relationship Id="rId13" Type="http://schemas.openxmlformats.org/officeDocument/2006/relationships/hyperlink" Target="https://www.myntra.com/tshirts/h%26m/hm-men-white-solid-cotton-pure-cotton-t-shirt-regular-fit/11468714/buy" TargetMode="External"/><Relationship Id="rId18" Type="http://schemas.openxmlformats.org/officeDocument/2006/relationships/hyperlink" Target="https://www.myntra.com/tshirts/wrogn/wrogn-men-white--blue-printed-slim-fit-polo-collar--cotton-t-shirt/11363324/buy" TargetMode="External"/><Relationship Id="rId39" Type="http://schemas.openxmlformats.org/officeDocument/2006/relationships/hyperlink" Target="https://www.myntra.com/tshirts/roadster/the-roadster-life-co-polo-collar-t-shirt/1996801/buy" TargetMode="External"/><Relationship Id="rId109" Type="http://schemas.openxmlformats.org/officeDocument/2006/relationships/hyperlink" Target="https://www.myntra.com/tops/here%26now/herenow-candy-store-multi-toned-striped-top/8922917/buy" TargetMode="External"/><Relationship Id="rId34" Type="http://schemas.openxmlformats.org/officeDocument/2006/relationships/hyperlink" Target="https://www.myntra.com/tshirts/roadster/the-roadster-lifestyle-co-men-navy-blue-solid-polo-collar-t-shirt/10943272/buy" TargetMode="External"/><Relationship Id="rId50" Type="http://schemas.openxmlformats.org/officeDocument/2006/relationships/hyperlink" Target="https://www.myntra.com/tshirts/here%26now/herenow-round-neck-long-sleeves-regular-fit-t-shirt/37686350/buy" TargetMode="External"/><Relationship Id="rId55" Type="http://schemas.openxmlformats.org/officeDocument/2006/relationships/hyperlink" Target="https://www.myntra.com/shirts/levis/levis-pure-cotton-slim-fit-casual-shirt/32257172/buy" TargetMode="External"/><Relationship Id="rId76" Type="http://schemas.openxmlformats.org/officeDocument/2006/relationships/hyperlink" Target="https://www.myntra.com/shirts/h%26m/hm-regular-fit-textured-resort-shirt/32676063/buy" TargetMode="External"/><Relationship Id="rId97" Type="http://schemas.openxmlformats.org/officeDocument/2006/relationships/hyperlink" Target="https://www.myntra.com/shirts/here%26now/herenow-slim-fit-vertical-striped-opaque-casual-shirt/34018180/buy" TargetMode="External"/><Relationship Id="rId104" Type="http://schemas.openxmlformats.org/officeDocument/2006/relationships/hyperlink" Target="https://www.myntra.com/thermal-tops/puma/puma-women-long-sleeve-thermal-t-shirt-with-drycell-technology/20673222/buy" TargetMode="External"/><Relationship Id="rId120" Type="http://schemas.openxmlformats.org/officeDocument/2006/relationships/hyperlink" Target="https://www.myntra.com/thermal-tops/puma/puma-women-long-sleeve-thermal-t-shirt-with-drycell-technology/20673222/buy" TargetMode="External"/><Relationship Id="rId125" Type="http://schemas.openxmlformats.org/officeDocument/2006/relationships/hyperlink" Target="https://www.myntra.com/thermal-tops/puma/puma-women-long-sleeve-thermal-t-shirt-with-drycell-technology/20673222/buy" TargetMode="External"/><Relationship Id="rId7" Type="http://schemas.openxmlformats.org/officeDocument/2006/relationships/hyperlink" Target="https://www.myntra.com/tshirts/puma/puma-men-slim-fit-polo-t-shirt/30850259/buy" TargetMode="External"/><Relationship Id="rId71" Type="http://schemas.openxmlformats.org/officeDocument/2006/relationships/hyperlink" Target="https://www.myntra.com/shirts/puma/puma-holiday-short-sleeved-shirts/25227528/buy" TargetMode="External"/><Relationship Id="rId92" Type="http://schemas.openxmlformats.org/officeDocument/2006/relationships/hyperlink" Target="https://www.myntra.com/shirts/wrogn/wrogn-men-white-slim-fit-casual-shirt/12220176/buy" TargetMode="External"/><Relationship Id="rId2" Type="http://schemas.openxmlformats.org/officeDocument/2006/relationships/hyperlink" Target="https://www.myntra.com/tshirts/puma/puma-men-slim-fit-polo-t-shirt/30850259/buy" TargetMode="External"/><Relationship Id="rId29" Type="http://schemas.openxmlformats.org/officeDocument/2006/relationships/hyperlink" Target="https://www.myntra.com/lounge-tshirts/levis/levis-men-pure-cotton-v-neck-short-sleeve-tshirt/12027434/buy" TargetMode="External"/><Relationship Id="rId24" Type="http://schemas.openxmlformats.org/officeDocument/2006/relationships/hyperlink" Target="https://www.myntra.com/lounge-tshirts/levis/levis-men-soft-pure-cotton-round-neck-half-sleeve-tshirt/12027436/buy" TargetMode="External"/><Relationship Id="rId40" Type="http://schemas.openxmlformats.org/officeDocument/2006/relationships/hyperlink" Target="https://www.myntra.com/tshirts/roadster/the-roadster-life-co-polo-collar-t-shirt/1996801/buy" TargetMode="External"/><Relationship Id="rId45" Type="http://schemas.openxmlformats.org/officeDocument/2006/relationships/hyperlink" Target="https://www.myntra.com/tshirts/adidas/adidas-brand-logo-print-detail-sports-t-shirt/29564784/buy" TargetMode="External"/><Relationship Id="rId66" Type="http://schemas.openxmlformats.org/officeDocument/2006/relationships/hyperlink" Target="https://www.myntra.com/shirts/highlander/highlander-men-dusty-checked-slim-fit-shirt/28086692/buy" TargetMode="External"/><Relationship Id="rId87" Type="http://schemas.openxmlformats.org/officeDocument/2006/relationships/hyperlink" Target="https://www.myntra.com/shirts/roadster/roadster-men-black-pure-cotton-casual-shirt/2127876/buy" TargetMode="External"/><Relationship Id="rId110" Type="http://schemas.openxmlformats.org/officeDocument/2006/relationships/hyperlink" Target="https://www.myntra.com/tops/h%26m/hm-cropped-vest-top/21678936/buy" TargetMode="External"/><Relationship Id="rId115" Type="http://schemas.openxmlformats.org/officeDocument/2006/relationships/hyperlink" Target="https://www.myntra.com/tops/adidas/adidas-club-tennis-tank-top/23718962/buy" TargetMode="External"/><Relationship Id="rId131" Type="http://schemas.openxmlformats.org/officeDocument/2006/relationships/hyperlink" Target="https://www.myntra.com/tops/h%26m/hm-draped-cap-sleeved-top/35141059/buy" TargetMode="External"/><Relationship Id="rId136" Type="http://schemas.openxmlformats.org/officeDocument/2006/relationships/hyperlink" Target="https://www.myntra.com/tops/here%26now/herenow-printed-mandarin-collar-roll-up-sleeves-bohemian-longline-top/21486076/buy" TargetMode="External"/><Relationship Id="rId61" Type="http://schemas.openxmlformats.org/officeDocument/2006/relationships/hyperlink" Target="https://www.myntra.com/shirts/levis/levis-pure-cotton-solid-slim-fit-opaque-casual-shirt/25756898/buy" TargetMode="External"/><Relationship Id="rId82" Type="http://schemas.openxmlformats.org/officeDocument/2006/relationships/hyperlink" Target="https://www.myntra.com/shirts/roadster/the-roadster-lifestyle-co--cotton-full-sleeve-shirts/29936231/buy" TargetMode="External"/><Relationship Id="rId19" Type="http://schemas.openxmlformats.org/officeDocument/2006/relationships/hyperlink" Target="https://www.myntra.com/tshirts/wrogn/wrogn-men-white--blue-printed-slim-fit-polo-collar--cotton-t-shirt/11363324/buy" TargetMode="External"/><Relationship Id="rId14" Type="http://schemas.openxmlformats.org/officeDocument/2006/relationships/hyperlink" Target="https://www.myntra.com/tshirts/h%26m/hm-men-white-solid-cotton-pure-cotton-t-shirt-regular-fit/11468714/buy" TargetMode="External"/><Relationship Id="rId30" Type="http://schemas.openxmlformats.org/officeDocument/2006/relationships/hyperlink" Target="https://www.myntra.com/lounge-tshirts/levis/levis-men-pure-cotton-v-neck-short-sleeve-tshirt/12027434/buy" TargetMode="External"/><Relationship Id="rId35" Type="http://schemas.openxmlformats.org/officeDocument/2006/relationships/hyperlink" Target="https://www.myntra.com/tshirts/roadster/the-roadster-lifestyle-co-men-navy-blue-solid-polo-collar-t-shirt/10943272/buy" TargetMode="External"/><Relationship Id="rId56" Type="http://schemas.openxmlformats.org/officeDocument/2006/relationships/hyperlink" Target="https://www.myntra.com/shirts/levis/levis-pure-cotton-slim-fit-casual-shirt/32257172/buy" TargetMode="External"/><Relationship Id="rId77" Type="http://schemas.openxmlformats.org/officeDocument/2006/relationships/hyperlink" Target="https://www.myntra.com/shirts/h%26m/hm-regular-fit-textured-resort-shirt/32676063/buy" TargetMode="External"/><Relationship Id="rId100" Type="http://schemas.openxmlformats.org/officeDocument/2006/relationships/hyperlink" Target="https://www.myntra.com/shirts/here%26now/herenow-slim-fit-vertical-striped-opaque-casual-shirt/34018180/buy" TargetMode="External"/><Relationship Id="rId105" Type="http://schemas.openxmlformats.org/officeDocument/2006/relationships/hyperlink" Target="https://www.myntra.com/tops/h%26m/hm-draped-cap-sleeved-top/35141059/buy" TargetMode="External"/><Relationship Id="rId126" Type="http://schemas.openxmlformats.org/officeDocument/2006/relationships/hyperlink" Target="https://www.myntra.com/tops/h%26m/hm-draped-cap-sleeved-top/35141059/buy" TargetMode="External"/><Relationship Id="rId8" Type="http://schemas.openxmlformats.org/officeDocument/2006/relationships/hyperlink" Target="https://www.myntra.com/tshirts/puma/puma-men-slim-fit-polo-t-shirt/30850259/buy" TargetMode="External"/><Relationship Id="rId51" Type="http://schemas.openxmlformats.org/officeDocument/2006/relationships/hyperlink" Target="https://www.myntra.com/tshirts/here%26now/herenow-round-neck-long-sleeves-regular-fit-t-shirt/37686350/buy" TargetMode="External"/><Relationship Id="rId72" Type="http://schemas.openxmlformats.org/officeDocument/2006/relationships/hyperlink" Target="https://www.myntra.com/shirts/puma/puma-holiday-short-sleeved-shirts/25227528/buy" TargetMode="External"/><Relationship Id="rId93" Type="http://schemas.openxmlformats.org/officeDocument/2006/relationships/hyperlink" Target="https://www.myntra.com/shirts/wrogn/wrogn-men-white-slim-fit-casual-shirt/12220176/buy" TargetMode="External"/><Relationship Id="rId98" Type="http://schemas.openxmlformats.org/officeDocument/2006/relationships/hyperlink" Target="https://www.myntra.com/shirts/here%26now/herenow-slim-fit-vertical-striped-opaque-casual-shirt/34018180/buy" TargetMode="External"/><Relationship Id="rId121" Type="http://schemas.openxmlformats.org/officeDocument/2006/relationships/hyperlink" Target="https://www.myntra.com/thermal-tops/puma/puma-women-long-sleeve-thermal-t-shirt-with-drycell-technology/20673222/buy" TargetMode="External"/><Relationship Id="rId3" Type="http://schemas.openxmlformats.org/officeDocument/2006/relationships/hyperlink" Target="https://www.myntra.com/tshirts/puma/puma-men-slim-fit-polo-t-shirt/30850259/buy" TargetMode="External"/><Relationship Id="rId25" Type="http://schemas.openxmlformats.org/officeDocument/2006/relationships/hyperlink" Target="https://www.myntra.com/lounge-tshirts/levis/levis-men-soft-pure-cotton-round-neck-half-sleeve-tshirt/12027436/buy" TargetMode="External"/><Relationship Id="rId46" Type="http://schemas.openxmlformats.org/officeDocument/2006/relationships/hyperlink" Target="https://www.myntra.com/tshirts/adidas/adidas-brand-logo-print-detail-sports-t-shirt/29564784/buy" TargetMode="External"/><Relationship Id="rId67" Type="http://schemas.openxmlformats.org/officeDocument/2006/relationships/hyperlink" Target="https://www.myntra.com/shirts/puma/puma-holiday-short-sleeved-shirts/25227528/buy" TargetMode="External"/><Relationship Id="rId116" Type="http://schemas.openxmlformats.org/officeDocument/2006/relationships/hyperlink" Target="https://www.myntra.com/tops/adidas/adidas-club-tennis-tank-top/23718962/buy" TargetMode="External"/><Relationship Id="rId137" Type="http://schemas.openxmlformats.org/officeDocument/2006/relationships/hyperlink" Target="https://www.myntra.com/tops/here%26now/herenow-candy-store-multi-toned-striped-top/8922917/buy" TargetMode="External"/><Relationship Id="rId20" Type="http://schemas.openxmlformats.org/officeDocument/2006/relationships/hyperlink" Target="https://www.myntra.com/tshirts/wrogn/wrogn-men-white--blue-printed-slim-fit-polo-collar--cotton-t-shirt/11363324/buy" TargetMode="External"/><Relationship Id="rId41" Type="http://schemas.openxmlformats.org/officeDocument/2006/relationships/hyperlink" Target="https://www.myntra.com/tshirts/roadster/the-roadster-life-co-polo-collar-t-shirt/1996801/buy" TargetMode="External"/><Relationship Id="rId62" Type="http://schemas.openxmlformats.org/officeDocument/2006/relationships/hyperlink" Target="https://www.myntra.com/shirts/levis/levis-pure-cotton-solid-slim-fit-opaque-casual-shirt/25756898/buy" TargetMode="External"/><Relationship Id="rId83" Type="http://schemas.openxmlformats.org/officeDocument/2006/relationships/hyperlink" Target="https://www.myntra.com/shirts/roadster/roadster-men-black-pure-cotton-casual-shirt/2127876/buy" TargetMode="External"/><Relationship Id="rId88" Type="http://schemas.openxmlformats.org/officeDocument/2006/relationships/hyperlink" Target="https://www.myntra.com/shirts/mast+%26+harbour/mast--harbour-men-standard-opaque-casual-cotton-shirt/23413772/buy" TargetMode="External"/><Relationship Id="rId111" Type="http://schemas.openxmlformats.org/officeDocument/2006/relationships/hyperlink" Target="https://www.myntra.com/tops/levis/levis-self-design-top/32258942/buy" TargetMode="External"/><Relationship Id="rId132" Type="http://schemas.openxmlformats.org/officeDocument/2006/relationships/hyperlink" Target="https://www.myntra.com/tops/roadster/roadster-women-rust-red-self-design-top/4317332/buy" TargetMode="External"/><Relationship Id="rId15" Type="http://schemas.openxmlformats.org/officeDocument/2006/relationships/hyperlink" Target="https://www.myntra.com/tshirts/mast+%26+harbour/mast--harbour-men-coral-pink-striped-polo-collar-cotton-t-shirt/4149433/buy" TargetMode="External"/><Relationship Id="rId36" Type="http://schemas.openxmlformats.org/officeDocument/2006/relationships/hyperlink" Target="https://www.myntra.com/tshirts/roadster/the-roadster-life-co-polo-collar-t-shirt/1996801/buy" TargetMode="External"/><Relationship Id="rId57" Type="http://schemas.openxmlformats.org/officeDocument/2006/relationships/hyperlink" Target="https://www.myntra.com/shirts/levis/levis-pure-cotton-slim-fit-casual-shirt/32257172/buy" TargetMode="External"/><Relationship Id="rId106" Type="http://schemas.openxmlformats.org/officeDocument/2006/relationships/hyperlink" Target="https://www.myntra.com/tops/roadster/roadster-women-rust-red-self-design-top/4317332/buy" TargetMode="External"/><Relationship Id="rId127" Type="http://schemas.openxmlformats.org/officeDocument/2006/relationships/hyperlink" Target="https://www.myntra.com/tops/h%26m/hm-draped-cap-sleeved-top/35141059/buy" TargetMode="External"/><Relationship Id="rId10" Type="http://schemas.openxmlformats.org/officeDocument/2006/relationships/hyperlink" Target="https://www.myntra.com/tshirts/h%26m/hm-men-white-solid-cotton-pure-cotton-t-shirt-regular-fit/11468714/buy" TargetMode="External"/><Relationship Id="rId31" Type="http://schemas.openxmlformats.org/officeDocument/2006/relationships/hyperlink" Target="https://www.myntra.com/tshirts/mast+%26+harbour/mast--harbour-men-coral-pink-striped-polo-collar-cotton-t-shirt/4149433/buy" TargetMode="External"/><Relationship Id="rId52" Type="http://schemas.openxmlformats.org/officeDocument/2006/relationships/hyperlink" Target="https://www.myntra.com/shirts/levis/levis-pure-cotton-slim-fit-casual-shirt/32257172/buy" TargetMode="External"/><Relationship Id="rId73" Type="http://schemas.openxmlformats.org/officeDocument/2006/relationships/hyperlink" Target="https://www.myntra.com/shirts/h%26m/hm-regular-fit-textured-resort-shirt/32676063/buy" TargetMode="External"/><Relationship Id="rId78" Type="http://schemas.openxmlformats.org/officeDocument/2006/relationships/hyperlink" Target="https://www.myntra.com/shirts/h%26m/hm-regular-fit-textured-resort-shirt/32676063/buy" TargetMode="External"/><Relationship Id="rId94" Type="http://schemas.openxmlformats.org/officeDocument/2006/relationships/hyperlink" Target="https://www.myntra.com/shirts/wrogn/wrogn-men-white-slim-fit-casual-shirt/12220176/buy" TargetMode="External"/><Relationship Id="rId99" Type="http://schemas.openxmlformats.org/officeDocument/2006/relationships/hyperlink" Target="https://www.myntra.com/shirts/here%26now/herenow-slim-fit-vertical-striped-opaque-casual-shirt/34018180/buy" TargetMode="External"/><Relationship Id="rId101" Type="http://schemas.openxmlformats.org/officeDocument/2006/relationships/hyperlink" Target="https://www.myntra.com/shirts/here%26now/herenow-slim-fit-vertical-striped-opaque-casual-shirt/34018180/buy" TargetMode="External"/><Relationship Id="rId122" Type="http://schemas.openxmlformats.org/officeDocument/2006/relationships/hyperlink" Target="https://www.myntra.com/thermal-tops/puma/puma-women-long-sleeve-thermal-t-shirt-with-drycell-technology/20673222/buy" TargetMode="External"/><Relationship Id="rId4" Type="http://schemas.openxmlformats.org/officeDocument/2006/relationships/hyperlink" Target="https://www.myntra.com/tshirts/puma/puma-men-slim-fit-polo-t-shirt/30850259/buy" TargetMode="External"/><Relationship Id="rId9" Type="http://schemas.openxmlformats.org/officeDocument/2006/relationships/hyperlink" Target="https://www.myntra.com/tshirts/h%26m/hm-men-white-solid-cotton-pure-cotton-t-shirt-regular-fit/11468714/buy" TargetMode="External"/><Relationship Id="rId26" Type="http://schemas.openxmlformats.org/officeDocument/2006/relationships/hyperlink" Target="https://www.myntra.com/lounge-tshirts/levis/levis-men-soft-pure-cotton-round-neck-half-sleeve-tshirt/12027436/buy" TargetMode="External"/><Relationship Id="rId47" Type="http://schemas.openxmlformats.org/officeDocument/2006/relationships/hyperlink" Target="https://www.myntra.com/tshirts/adidas/adidas-brand-logo-print-detail-sports-t-shirt/29564784/buy" TargetMode="External"/><Relationship Id="rId68" Type="http://schemas.openxmlformats.org/officeDocument/2006/relationships/hyperlink" Target="https://www.myntra.com/shirts/puma/puma-holiday-short-sleeved-shirts/25227528/buy" TargetMode="External"/><Relationship Id="rId89" Type="http://schemas.openxmlformats.org/officeDocument/2006/relationships/hyperlink" Target="https://www.myntra.com/shirts/mast+%26+harbour/mast--harbour-men-standard-opaque-casual-cotton-shirt/23413772/buy" TargetMode="External"/><Relationship Id="rId112" Type="http://schemas.openxmlformats.org/officeDocument/2006/relationships/hyperlink" Target="https://www.myntra.com/tops/levis/levis-self-design-top/32258942/buy" TargetMode="External"/><Relationship Id="rId133" Type="http://schemas.openxmlformats.org/officeDocument/2006/relationships/hyperlink" Target="https://www.myntra.com/tops/roadster/roadster-women-black-ribbed-top/11401674/bu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topLeftCell="A3" zoomScale="62" zoomScaleNormal="85" workbookViewId="0">
      <selection activeCell="C26" sqref="C26"/>
    </sheetView>
  </sheetViews>
  <sheetFormatPr defaultRowHeight="25.05" customHeight="1" x14ac:dyDescent="0.45"/>
  <cols>
    <col min="1" max="1" width="15" customWidth="1"/>
    <col min="2" max="2" width="40" customWidth="1"/>
    <col min="3" max="3" width="15" customWidth="1"/>
    <col min="4" max="4" width="10" customWidth="1"/>
    <col min="5" max="5" width="20" customWidth="1"/>
    <col min="6" max="6" width="50" customWidth="1"/>
    <col min="7" max="7" width="30" customWidth="1"/>
  </cols>
  <sheetData>
    <row r="1" spans="1:7" ht="25.05" customHeight="1" x14ac:dyDescent="0.45">
      <c r="A1" s="1" t="s">
        <v>0</v>
      </c>
      <c r="B1" s="1" t="s">
        <v>1</v>
      </c>
      <c r="C1" s="1" t="s">
        <v>2</v>
      </c>
      <c r="D1" s="1" t="s">
        <v>3</v>
      </c>
      <c r="E1" s="1" t="s">
        <v>4</v>
      </c>
      <c r="F1" s="1" t="s">
        <v>5</v>
      </c>
      <c r="G1" s="1" t="s">
        <v>6</v>
      </c>
    </row>
    <row r="2" spans="1:7" ht="25.05" customHeight="1" x14ac:dyDescent="0.45">
      <c r="A2" s="4" t="s">
        <v>81</v>
      </c>
      <c r="B2" s="4" t="s">
        <v>89</v>
      </c>
      <c r="C2" s="4" t="s">
        <v>16</v>
      </c>
      <c r="D2" s="4">
        <v>649</v>
      </c>
      <c r="E2" s="4" t="s">
        <v>58</v>
      </c>
      <c r="F2" s="5" t="s">
        <v>88</v>
      </c>
      <c r="G2" s="4" t="s">
        <v>90</v>
      </c>
    </row>
    <row r="3" spans="1:7" ht="25.05" customHeight="1" x14ac:dyDescent="0.45">
      <c r="A3" s="4" t="s">
        <v>81</v>
      </c>
      <c r="B3" s="4" t="s">
        <v>82</v>
      </c>
      <c r="C3" s="4" t="s">
        <v>16</v>
      </c>
      <c r="D3" s="4">
        <v>649</v>
      </c>
      <c r="E3" s="4" t="s">
        <v>58</v>
      </c>
      <c r="F3" s="5" t="s">
        <v>83</v>
      </c>
      <c r="G3" s="4" t="s">
        <v>84</v>
      </c>
    </row>
    <row r="4" spans="1:7" ht="25.05" customHeight="1" x14ac:dyDescent="0.45">
      <c r="A4" s="4" t="s">
        <v>30</v>
      </c>
      <c r="B4" s="4" t="s">
        <v>31</v>
      </c>
      <c r="C4" s="4" t="s">
        <v>16</v>
      </c>
      <c r="D4" s="4">
        <v>829</v>
      </c>
      <c r="E4" s="4" t="s">
        <v>32</v>
      </c>
      <c r="F4" s="5" t="s">
        <v>33</v>
      </c>
      <c r="G4" s="4" t="s">
        <v>34</v>
      </c>
    </row>
    <row r="5" spans="1:7" ht="25.05" customHeight="1" x14ac:dyDescent="0.45">
      <c r="A5" s="4" t="s">
        <v>38</v>
      </c>
      <c r="B5" s="4" t="s">
        <v>39</v>
      </c>
      <c r="C5" s="4" t="s">
        <v>16</v>
      </c>
      <c r="D5" s="4">
        <v>1699</v>
      </c>
      <c r="E5" s="4" t="s">
        <v>40</v>
      </c>
      <c r="F5" s="5" t="s">
        <v>41</v>
      </c>
      <c r="G5" s="4" t="s">
        <v>42</v>
      </c>
    </row>
    <row r="6" spans="1:7" ht="25.05" customHeight="1" x14ac:dyDescent="0.45">
      <c r="A6" s="4" t="s">
        <v>48</v>
      </c>
      <c r="B6" s="4" t="s">
        <v>49</v>
      </c>
      <c r="C6" s="4" t="s">
        <v>16</v>
      </c>
      <c r="D6" s="4">
        <v>499</v>
      </c>
      <c r="E6" s="4" t="s">
        <v>32</v>
      </c>
      <c r="F6" s="5" t="s">
        <v>50</v>
      </c>
      <c r="G6" s="4" t="s">
        <v>51</v>
      </c>
    </row>
    <row r="7" spans="1:7" ht="25.05" customHeight="1" x14ac:dyDescent="0.45">
      <c r="A7" s="4" t="s">
        <v>56</v>
      </c>
      <c r="B7" s="4" t="s">
        <v>57</v>
      </c>
      <c r="C7" s="4" t="s">
        <v>16</v>
      </c>
      <c r="D7" s="4">
        <v>599</v>
      </c>
      <c r="E7" s="4" t="s">
        <v>58</v>
      </c>
      <c r="F7" s="5" t="s">
        <v>59</v>
      </c>
      <c r="G7" s="4" t="s">
        <v>60</v>
      </c>
    </row>
    <row r="8" spans="1:7" ht="25.05" customHeight="1" x14ac:dyDescent="0.45">
      <c r="A8" s="4" t="s">
        <v>56</v>
      </c>
      <c r="B8" s="4" t="s">
        <v>94</v>
      </c>
      <c r="C8" s="4" t="s">
        <v>16</v>
      </c>
      <c r="D8" s="4">
        <v>899</v>
      </c>
      <c r="E8" s="4" t="s">
        <v>95</v>
      </c>
      <c r="F8" s="5" t="s">
        <v>96</v>
      </c>
      <c r="G8" s="4" t="s">
        <v>70</v>
      </c>
    </row>
    <row r="9" spans="1:7" ht="25.05" customHeight="1" x14ac:dyDescent="0.45">
      <c r="A9" s="4" t="s">
        <v>67</v>
      </c>
      <c r="B9" s="4" t="s">
        <v>68</v>
      </c>
      <c r="C9" s="4" t="s">
        <v>16</v>
      </c>
      <c r="D9" s="4">
        <v>1299</v>
      </c>
      <c r="E9" s="4" t="s">
        <v>58</v>
      </c>
      <c r="F9" s="5" t="s">
        <v>69</v>
      </c>
      <c r="G9" s="4" t="s">
        <v>70</v>
      </c>
    </row>
    <row r="10" spans="1:7" ht="25.05" customHeight="1" x14ac:dyDescent="0.45">
      <c r="A10" s="4" t="s">
        <v>74</v>
      </c>
      <c r="B10" s="4" t="s">
        <v>75</v>
      </c>
      <c r="C10" s="4" t="s">
        <v>16</v>
      </c>
      <c r="D10" s="4">
        <v>799</v>
      </c>
      <c r="E10" s="4" t="s">
        <v>17</v>
      </c>
      <c r="F10" s="5" t="s">
        <v>76</v>
      </c>
      <c r="G10" s="4" t="s">
        <v>77</v>
      </c>
    </row>
    <row r="11" spans="1:7" ht="25.05" customHeight="1" x14ac:dyDescent="0.45">
      <c r="A11" s="4" t="s">
        <v>97</v>
      </c>
      <c r="B11" s="4" t="s">
        <v>98</v>
      </c>
      <c r="C11" s="4" t="s">
        <v>16</v>
      </c>
      <c r="D11" s="4">
        <v>1299</v>
      </c>
      <c r="E11" s="4" t="s">
        <v>99</v>
      </c>
      <c r="F11" s="5" t="s">
        <v>100</v>
      </c>
      <c r="G11" s="4" t="s">
        <v>101</v>
      </c>
    </row>
    <row r="12" spans="1:7" ht="25.05" customHeight="1" x14ac:dyDescent="0.45">
      <c r="A12" s="4" t="s">
        <v>81</v>
      </c>
      <c r="B12" s="4" t="s">
        <v>105</v>
      </c>
      <c r="C12" s="4" t="s">
        <v>106</v>
      </c>
      <c r="D12" s="4">
        <v>1899</v>
      </c>
      <c r="E12" s="4" t="s">
        <v>32</v>
      </c>
      <c r="F12" s="5" t="s">
        <v>107</v>
      </c>
      <c r="G12" s="4" t="s">
        <v>108</v>
      </c>
    </row>
    <row r="13" spans="1:7" ht="25.05" customHeight="1" x14ac:dyDescent="0.45">
      <c r="A13" s="4" t="s">
        <v>81</v>
      </c>
      <c r="B13" s="4" t="s">
        <v>109</v>
      </c>
      <c r="C13" s="4" t="s">
        <v>106</v>
      </c>
      <c r="D13" s="4">
        <v>1899</v>
      </c>
      <c r="E13" s="4" t="s">
        <v>110</v>
      </c>
      <c r="F13" s="5" t="s">
        <v>111</v>
      </c>
      <c r="G13" s="4" t="s">
        <v>112</v>
      </c>
    </row>
    <row r="14" spans="1:7" ht="25.05" customHeight="1" x14ac:dyDescent="0.45">
      <c r="A14" s="4" t="s">
        <v>113</v>
      </c>
      <c r="B14" s="4" t="s">
        <v>114</v>
      </c>
      <c r="C14" s="4" t="s">
        <v>106</v>
      </c>
      <c r="D14" s="4">
        <v>699</v>
      </c>
      <c r="E14" s="4" t="s">
        <v>58</v>
      </c>
      <c r="F14" s="5" t="s">
        <v>115</v>
      </c>
      <c r="G14" s="4" t="s">
        <v>116</v>
      </c>
    </row>
    <row r="15" spans="1:7" ht="25.05" customHeight="1" x14ac:dyDescent="0.45">
      <c r="A15" s="4" t="s">
        <v>38</v>
      </c>
      <c r="B15" s="4" t="s">
        <v>117</v>
      </c>
      <c r="C15" s="4" t="s">
        <v>106</v>
      </c>
      <c r="D15" s="4">
        <v>1799</v>
      </c>
      <c r="E15" s="4" t="s">
        <v>32</v>
      </c>
      <c r="F15" s="5" t="s">
        <v>118</v>
      </c>
      <c r="G15" s="4" t="s">
        <v>119</v>
      </c>
    </row>
    <row r="16" spans="1:7" ht="25.05" customHeight="1" x14ac:dyDescent="0.45">
      <c r="A16" s="4" t="s">
        <v>48</v>
      </c>
      <c r="B16" s="4" t="s">
        <v>120</v>
      </c>
      <c r="C16" s="4" t="s">
        <v>106</v>
      </c>
      <c r="D16" s="4">
        <v>1499</v>
      </c>
      <c r="E16" s="4" t="s">
        <v>32</v>
      </c>
      <c r="F16" s="5" t="s">
        <v>121</v>
      </c>
      <c r="G16" s="4" t="s">
        <v>122</v>
      </c>
    </row>
    <row r="17" spans="1:7" ht="25.05" customHeight="1" x14ac:dyDescent="0.45">
      <c r="A17" s="4" t="s">
        <v>56</v>
      </c>
      <c r="B17" s="4" t="s">
        <v>123</v>
      </c>
      <c r="C17" s="4" t="s">
        <v>106</v>
      </c>
      <c r="D17" s="4">
        <v>999</v>
      </c>
      <c r="E17" s="4" t="s">
        <v>58</v>
      </c>
      <c r="F17" s="5" t="s">
        <v>124</v>
      </c>
      <c r="G17" s="4" t="s">
        <v>125</v>
      </c>
    </row>
    <row r="18" spans="1:7" ht="25.05" customHeight="1" x14ac:dyDescent="0.45">
      <c r="A18" s="4" t="s">
        <v>56</v>
      </c>
      <c r="B18" s="4" t="s">
        <v>126</v>
      </c>
      <c r="C18" s="4" t="s">
        <v>106</v>
      </c>
      <c r="D18" s="4">
        <v>999</v>
      </c>
      <c r="E18" s="4" t="s">
        <v>17</v>
      </c>
      <c r="F18" s="5" t="s">
        <v>127</v>
      </c>
      <c r="G18" s="4" t="s">
        <v>128</v>
      </c>
    </row>
    <row r="19" spans="1:7" ht="25.05" customHeight="1" x14ac:dyDescent="0.45">
      <c r="A19" s="4" t="s">
        <v>67</v>
      </c>
      <c r="B19" s="4" t="s">
        <v>129</v>
      </c>
      <c r="C19" s="4" t="s">
        <v>106</v>
      </c>
      <c r="D19" s="4">
        <v>899</v>
      </c>
      <c r="E19" s="4" t="s">
        <v>58</v>
      </c>
      <c r="F19" s="5" t="s">
        <v>130</v>
      </c>
      <c r="G19" s="4" t="s">
        <v>131</v>
      </c>
    </row>
    <row r="20" spans="1:7" ht="25.05" customHeight="1" x14ac:dyDescent="0.45">
      <c r="A20" s="4" t="s">
        <v>74</v>
      </c>
      <c r="B20" s="4" t="s">
        <v>132</v>
      </c>
      <c r="C20" s="4" t="s">
        <v>106</v>
      </c>
      <c r="D20" s="4">
        <v>1999</v>
      </c>
      <c r="E20" s="4" t="s">
        <v>17</v>
      </c>
      <c r="F20" s="5" t="s">
        <v>133</v>
      </c>
      <c r="G20" s="4" t="s">
        <v>134</v>
      </c>
    </row>
    <row r="21" spans="1:7" ht="25.05" customHeight="1" x14ac:dyDescent="0.45">
      <c r="A21" s="4" t="s">
        <v>97</v>
      </c>
      <c r="B21" s="4" t="s">
        <v>135</v>
      </c>
      <c r="C21" s="4" t="s">
        <v>106</v>
      </c>
      <c r="D21" s="4">
        <v>799</v>
      </c>
      <c r="E21" s="4" t="s">
        <v>136</v>
      </c>
      <c r="F21" s="5" t="s">
        <v>137</v>
      </c>
      <c r="G21" s="4" t="s">
        <v>138</v>
      </c>
    </row>
    <row r="22" spans="1:7" ht="25.05" customHeight="1" x14ac:dyDescent="0.45">
      <c r="A22" s="4" t="s">
        <v>81</v>
      </c>
      <c r="B22" s="4" t="s">
        <v>169</v>
      </c>
      <c r="C22" s="4" t="s">
        <v>170</v>
      </c>
      <c r="D22" s="4">
        <v>2199</v>
      </c>
      <c r="E22" s="4" t="s">
        <v>171</v>
      </c>
      <c r="F22" s="5" t="s">
        <v>172</v>
      </c>
      <c r="G22" s="4" t="s">
        <v>173</v>
      </c>
    </row>
    <row r="23" spans="1:7" ht="25.05" customHeight="1" x14ac:dyDescent="0.45">
      <c r="A23" s="4" t="s">
        <v>30</v>
      </c>
      <c r="B23" s="4" t="s">
        <v>174</v>
      </c>
      <c r="C23" s="4" t="s">
        <v>170</v>
      </c>
      <c r="D23" s="4">
        <v>2499</v>
      </c>
      <c r="E23" s="4" t="s">
        <v>32</v>
      </c>
      <c r="F23" s="5" t="s">
        <v>175</v>
      </c>
      <c r="G23" s="4" t="s">
        <v>176</v>
      </c>
    </row>
    <row r="24" spans="1:7" ht="25.05" customHeight="1" x14ac:dyDescent="0.45">
      <c r="A24" s="4" t="s">
        <v>38</v>
      </c>
      <c r="B24" s="4" t="s">
        <v>177</v>
      </c>
      <c r="C24" s="4" t="s">
        <v>178</v>
      </c>
      <c r="D24" s="4">
        <v>2499</v>
      </c>
      <c r="E24" s="4" t="s">
        <v>179</v>
      </c>
      <c r="F24" s="5" t="s">
        <v>180</v>
      </c>
      <c r="G24" s="4" t="s">
        <v>181</v>
      </c>
    </row>
    <row r="25" spans="1:7" ht="25.05" customHeight="1" x14ac:dyDescent="0.45">
      <c r="A25" s="4" t="s">
        <v>48</v>
      </c>
      <c r="B25" s="4" t="s">
        <v>182</v>
      </c>
      <c r="C25" s="4" t="s">
        <v>170</v>
      </c>
      <c r="D25" s="4">
        <v>1499</v>
      </c>
      <c r="E25" s="4" t="s">
        <v>179</v>
      </c>
      <c r="F25" s="5" t="s">
        <v>183</v>
      </c>
      <c r="G25" s="4" t="s">
        <v>184</v>
      </c>
    </row>
    <row r="26" spans="1:7" ht="25.05" customHeight="1" x14ac:dyDescent="0.45">
      <c r="A26" s="4" t="s">
        <v>56</v>
      </c>
      <c r="B26" s="4" t="s">
        <v>185</v>
      </c>
      <c r="C26" s="4" t="s">
        <v>170</v>
      </c>
      <c r="D26" s="4">
        <v>799</v>
      </c>
      <c r="E26" s="4" t="s">
        <v>32</v>
      </c>
      <c r="F26" s="5" t="s">
        <v>186</v>
      </c>
      <c r="G26" s="4" t="s">
        <v>187</v>
      </c>
    </row>
    <row r="27" spans="1:7" ht="25.05" customHeight="1" x14ac:dyDescent="0.45">
      <c r="A27" s="4" t="s">
        <v>56</v>
      </c>
      <c r="B27" s="4" t="s">
        <v>188</v>
      </c>
      <c r="C27" s="4" t="s">
        <v>170</v>
      </c>
      <c r="D27" s="4">
        <v>699</v>
      </c>
      <c r="E27" s="4" t="s">
        <v>32</v>
      </c>
      <c r="F27" s="5" t="s">
        <v>189</v>
      </c>
      <c r="G27" s="4" t="s">
        <v>190</v>
      </c>
    </row>
    <row r="28" spans="1:7" ht="25.05" customHeight="1" x14ac:dyDescent="0.45">
      <c r="A28" s="4" t="s">
        <v>67</v>
      </c>
      <c r="B28" s="4" t="s">
        <v>191</v>
      </c>
      <c r="C28" s="4" t="s">
        <v>170</v>
      </c>
      <c r="D28" s="4">
        <v>999</v>
      </c>
      <c r="E28" s="4" t="s">
        <v>171</v>
      </c>
      <c r="F28" s="5" t="s">
        <v>192</v>
      </c>
      <c r="G28" s="4" t="s">
        <v>193</v>
      </c>
    </row>
    <row r="29" spans="1:7" ht="25.05" customHeight="1" x14ac:dyDescent="0.45">
      <c r="A29" s="4" t="s">
        <v>97</v>
      </c>
      <c r="B29" s="4" t="s">
        <v>194</v>
      </c>
      <c r="C29" s="4" t="s">
        <v>170</v>
      </c>
      <c r="D29" s="4">
        <v>899</v>
      </c>
      <c r="E29" s="4" t="s">
        <v>17</v>
      </c>
      <c r="F29" s="5" t="s">
        <v>195</v>
      </c>
      <c r="G29" s="4" t="s">
        <v>196</v>
      </c>
    </row>
    <row r="30" spans="1:7" ht="25.05" customHeight="1" x14ac:dyDescent="0.45">
      <c r="A30" s="4" t="s">
        <v>97</v>
      </c>
      <c r="B30" s="4" t="s">
        <v>197</v>
      </c>
      <c r="C30" s="4" t="s">
        <v>170</v>
      </c>
      <c r="D30" s="4">
        <v>799</v>
      </c>
      <c r="E30" s="4" t="s">
        <v>32</v>
      </c>
      <c r="F30" s="5" t="s">
        <v>198</v>
      </c>
      <c r="G30" s="4" t="s">
        <v>187</v>
      </c>
    </row>
    <row r="31" spans="1:7" ht="25.05" customHeight="1" x14ac:dyDescent="0.45">
      <c r="A31" s="4" t="s">
        <v>48</v>
      </c>
      <c r="B31" s="4" t="s">
        <v>199</v>
      </c>
      <c r="C31" s="4" t="s">
        <v>170</v>
      </c>
      <c r="D31" s="4">
        <v>1299</v>
      </c>
      <c r="E31" s="4" t="s">
        <v>171</v>
      </c>
      <c r="F31" s="5" t="s">
        <v>200</v>
      </c>
      <c r="G31" s="4" t="s">
        <v>201</v>
      </c>
    </row>
  </sheetData>
  <hyperlinks>
    <hyperlink ref="F4" r:id="rId1" xr:uid="{C0051577-9658-45E2-966B-61F73C34DE70}"/>
    <hyperlink ref="F5" r:id="rId2" xr:uid="{A40BB636-BFD8-4678-ACB4-9DBA714DEBB4}"/>
    <hyperlink ref="F6" r:id="rId3" xr:uid="{7C008CA3-3CC8-48D3-9CA6-55C32676FF0F}"/>
    <hyperlink ref="F7" r:id="rId4" xr:uid="{3489C9A5-40AE-4ED1-B873-7FF85569813A}"/>
    <hyperlink ref="F9" r:id="rId5" xr:uid="{B1A2D3F1-9BDF-4C89-A4D3-0746F75E08A8}"/>
    <hyperlink ref="F10" r:id="rId6" xr:uid="{6EEE1ED7-C04B-4E8A-B8A9-A46932C76C29}"/>
    <hyperlink ref="F3" r:id="rId7" xr:uid="{2D7D9E5D-E1C2-4082-AAEC-F37E3936087A}"/>
    <hyperlink ref="F2" r:id="rId8" xr:uid="{4D10CD66-0E01-4329-9A01-B6A652A1DC4D}"/>
    <hyperlink ref="F8" r:id="rId9" xr:uid="{B5C08EE9-366A-48FB-83FA-0E6D292F2018}"/>
    <hyperlink ref="F11" r:id="rId10" xr:uid="{A3B70763-E880-46EA-93B6-3CE46F10193D}"/>
    <hyperlink ref="F12" r:id="rId11" xr:uid="{7C81D7A2-449C-4134-AF85-23430ACB2DA0}"/>
    <hyperlink ref="F13" r:id="rId12" xr:uid="{262738E2-7EB4-46CA-8AF0-ED2FA0767E67}"/>
    <hyperlink ref="F14" r:id="rId13" xr:uid="{68C4C98F-C3A5-4C75-93FA-7117327609A4}"/>
    <hyperlink ref="F15" r:id="rId14" xr:uid="{72656BA0-65BE-499C-A21A-B27613B57DE1}"/>
    <hyperlink ref="F16" r:id="rId15" xr:uid="{8D526BBC-22F6-47B8-9AD0-3246E0911791}"/>
    <hyperlink ref="F17" r:id="rId16" xr:uid="{FB89F2D7-7443-4198-AE4E-1690416E5EB5}"/>
    <hyperlink ref="F18" r:id="rId17" xr:uid="{906B4355-6463-4D54-8A5E-36960DBD9698}"/>
    <hyperlink ref="F19" r:id="rId18" xr:uid="{E41F631A-0B83-43D1-BF73-81CC66FEA5B1}"/>
    <hyperlink ref="F20" r:id="rId19" xr:uid="{8EF5DF20-A556-4A0D-BD2E-7F8640BB6268}"/>
    <hyperlink ref="F21" r:id="rId20" xr:uid="{30AB13C7-24CC-45CA-B2D9-A660BF626C0D}"/>
    <hyperlink ref="F22" r:id="rId21" xr:uid="{0D1CDA8B-88A3-42DE-9790-02F187E6EAE1}"/>
    <hyperlink ref="F23" r:id="rId22" xr:uid="{0BD17273-BE74-473E-AFF9-530F935C488F}"/>
    <hyperlink ref="F24" r:id="rId23" xr:uid="{853DC694-9769-4276-A12E-E9F4E09C9071}"/>
    <hyperlink ref="F25" r:id="rId24" xr:uid="{232C5190-61EF-4FFF-B361-29C47B1F1F18}"/>
    <hyperlink ref="F26" r:id="rId25" xr:uid="{531E5AE2-4C5F-44B1-8663-A86E48F39190}"/>
    <hyperlink ref="F27" r:id="rId26" xr:uid="{483073C9-664C-4CF4-9A2C-D11536B5F93B}"/>
    <hyperlink ref="F28" r:id="rId27" xr:uid="{3EBC4161-A433-41C4-AB09-B28F4BA90E80}"/>
    <hyperlink ref="F29" r:id="rId28" xr:uid="{61074AC3-5DA7-48A8-A534-4FA702CC8D20}"/>
    <hyperlink ref="F30" r:id="rId29" xr:uid="{CCE94599-28D2-415D-82B7-226948B258E0}"/>
    <hyperlink ref="F31" r:id="rId30" xr:uid="{92D23209-F122-4322-BD82-B21685CA1B79}"/>
  </hyperlinks>
  <pageMargins left="0.75" right="0.75" top="1" bottom="1" header="0.5" footer="0.5"/>
  <pageSetup orientation="portrait"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9"/>
  <sheetViews>
    <sheetView zoomScale="81" zoomScaleNormal="100" workbookViewId="0">
      <selection activeCell="E106" sqref="E106"/>
    </sheetView>
  </sheetViews>
  <sheetFormatPr defaultRowHeight="25.05" customHeight="1" x14ac:dyDescent="0.45"/>
  <cols>
    <col min="1" max="2" width="15" customWidth="1"/>
    <col min="3" max="3" width="8" customWidth="1"/>
    <col min="4" max="6" width="12" customWidth="1"/>
    <col min="7" max="7" width="50" customWidth="1"/>
  </cols>
  <sheetData>
    <row r="1" spans="1:7" ht="25.05" customHeight="1" x14ac:dyDescent="0.45">
      <c r="A1" s="2" t="s">
        <v>0</v>
      </c>
      <c r="B1" s="2" t="s">
        <v>2</v>
      </c>
      <c r="C1" s="2" t="s">
        <v>7</v>
      </c>
      <c r="D1" s="2" t="s">
        <v>8</v>
      </c>
      <c r="E1" s="2" t="s">
        <v>9</v>
      </c>
      <c r="F1" s="2" t="s">
        <v>10</v>
      </c>
      <c r="G1" s="2" t="s">
        <v>11</v>
      </c>
    </row>
    <row r="2" spans="1:7" ht="25.05" customHeight="1" x14ac:dyDescent="0.45">
      <c r="A2" s="4" t="s">
        <v>81</v>
      </c>
      <c r="B2" s="4" t="s">
        <v>16</v>
      </c>
      <c r="C2" s="4" t="s">
        <v>18</v>
      </c>
      <c r="D2" s="4">
        <v>97</v>
      </c>
      <c r="E2" s="4"/>
      <c r="F2" s="4">
        <v>68.099999999999994</v>
      </c>
      <c r="G2" s="5" t="s">
        <v>88</v>
      </c>
    </row>
    <row r="3" spans="1:7" ht="25.05" customHeight="1" x14ac:dyDescent="0.45">
      <c r="A3" s="4" t="s">
        <v>81</v>
      </c>
      <c r="B3" s="4" t="s">
        <v>16</v>
      </c>
      <c r="C3" s="4" t="s">
        <v>20</v>
      </c>
      <c r="D3" s="4">
        <v>101.9</v>
      </c>
      <c r="E3" s="4"/>
      <c r="F3" s="4">
        <v>70.599999999999994</v>
      </c>
      <c r="G3" s="5" t="s">
        <v>88</v>
      </c>
    </row>
    <row r="4" spans="1:7" ht="25.05" customHeight="1" x14ac:dyDescent="0.45">
      <c r="A4" s="4" t="s">
        <v>81</v>
      </c>
      <c r="B4" s="4" t="s">
        <v>16</v>
      </c>
      <c r="C4" s="4" t="s">
        <v>21</v>
      </c>
      <c r="D4" s="4">
        <v>106.9</v>
      </c>
      <c r="E4" s="4"/>
      <c r="F4" s="4">
        <v>72.900000000000006</v>
      </c>
      <c r="G4" s="5" t="s">
        <v>88</v>
      </c>
    </row>
    <row r="5" spans="1:7" ht="25.05" customHeight="1" x14ac:dyDescent="0.45">
      <c r="A5" s="4" t="s">
        <v>81</v>
      </c>
      <c r="B5" s="4" t="s">
        <v>16</v>
      </c>
      <c r="C5" s="4" t="s">
        <v>22</v>
      </c>
      <c r="D5" s="4">
        <v>112</v>
      </c>
      <c r="E5" s="4"/>
      <c r="F5" s="4">
        <v>75.400000000000006</v>
      </c>
      <c r="G5" s="5" t="s">
        <v>88</v>
      </c>
    </row>
    <row r="6" spans="1:7" ht="25.05" customHeight="1" x14ac:dyDescent="0.45">
      <c r="A6" s="4" t="s">
        <v>81</v>
      </c>
      <c r="B6" s="4" t="s">
        <v>16</v>
      </c>
      <c r="C6" s="4" t="s">
        <v>18</v>
      </c>
      <c r="D6" s="4">
        <v>97</v>
      </c>
      <c r="E6" s="4"/>
      <c r="F6" s="4">
        <v>68.099999999999994</v>
      </c>
      <c r="G6" s="5" t="s">
        <v>83</v>
      </c>
    </row>
    <row r="7" spans="1:7" ht="25.05" customHeight="1" x14ac:dyDescent="0.45">
      <c r="A7" s="4" t="s">
        <v>81</v>
      </c>
      <c r="B7" s="4" t="s">
        <v>16</v>
      </c>
      <c r="C7" s="4" t="s">
        <v>20</v>
      </c>
      <c r="D7" s="4">
        <v>101.9</v>
      </c>
      <c r="E7" s="4"/>
      <c r="F7" s="4">
        <v>70.599999999999994</v>
      </c>
      <c r="G7" s="5" t="s">
        <v>83</v>
      </c>
    </row>
    <row r="8" spans="1:7" ht="25.05" customHeight="1" x14ac:dyDescent="0.45">
      <c r="A8" s="4" t="s">
        <v>81</v>
      </c>
      <c r="B8" s="4" t="s">
        <v>16</v>
      </c>
      <c r="C8" s="4" t="s">
        <v>21</v>
      </c>
      <c r="D8" s="4">
        <v>106.9</v>
      </c>
      <c r="E8" s="4"/>
      <c r="F8" s="4">
        <v>72.900000000000006</v>
      </c>
      <c r="G8" s="5" t="s">
        <v>83</v>
      </c>
    </row>
    <row r="9" spans="1:7" ht="25.05" customHeight="1" x14ac:dyDescent="0.45">
      <c r="A9" s="4" t="s">
        <v>81</v>
      </c>
      <c r="B9" s="4" t="s">
        <v>16</v>
      </c>
      <c r="C9" s="4" t="s">
        <v>22</v>
      </c>
      <c r="D9" s="4">
        <v>112</v>
      </c>
      <c r="E9" s="4"/>
      <c r="F9" s="4">
        <v>75.400000000000006</v>
      </c>
      <c r="G9" s="5" t="s">
        <v>83</v>
      </c>
    </row>
    <row r="10" spans="1:7" ht="25.05" customHeight="1" x14ac:dyDescent="0.45">
      <c r="A10" s="4" t="s">
        <v>30</v>
      </c>
      <c r="B10" s="4" t="s">
        <v>16</v>
      </c>
      <c r="C10" s="4" t="s">
        <v>28</v>
      </c>
      <c r="D10" s="4">
        <v>96</v>
      </c>
      <c r="E10" s="4" t="s">
        <v>19</v>
      </c>
      <c r="F10" s="4">
        <v>70.400000000000006</v>
      </c>
      <c r="G10" s="5" t="s">
        <v>33</v>
      </c>
    </row>
    <row r="11" spans="1:7" ht="25.05" customHeight="1" x14ac:dyDescent="0.45">
      <c r="A11" s="4" t="s">
        <v>30</v>
      </c>
      <c r="B11" s="4" t="s">
        <v>16</v>
      </c>
      <c r="C11" s="4" t="s">
        <v>18</v>
      </c>
      <c r="D11" s="4">
        <v>102.1</v>
      </c>
      <c r="E11" s="4" t="s">
        <v>19</v>
      </c>
      <c r="F11" s="4">
        <v>72.599999999999994</v>
      </c>
      <c r="G11" s="5" t="s">
        <v>33</v>
      </c>
    </row>
    <row r="12" spans="1:7" ht="25.05" customHeight="1" x14ac:dyDescent="0.45">
      <c r="A12" s="4" t="s">
        <v>30</v>
      </c>
      <c r="B12" s="4" t="s">
        <v>16</v>
      </c>
      <c r="C12" s="4" t="s">
        <v>20</v>
      </c>
      <c r="D12" s="4">
        <v>109.9</v>
      </c>
      <c r="E12" s="4" t="s">
        <v>19</v>
      </c>
      <c r="F12" s="4">
        <v>74.900000000000006</v>
      </c>
      <c r="G12" s="5" t="s">
        <v>33</v>
      </c>
    </row>
    <row r="13" spans="1:7" ht="25.05" customHeight="1" x14ac:dyDescent="0.45">
      <c r="A13" s="4" t="s">
        <v>30</v>
      </c>
      <c r="B13" s="4" t="s">
        <v>16</v>
      </c>
      <c r="C13" s="4" t="s">
        <v>21</v>
      </c>
      <c r="D13" s="4">
        <v>118.1</v>
      </c>
      <c r="E13" s="4" t="s">
        <v>19</v>
      </c>
      <c r="F13" s="4">
        <v>77.2</v>
      </c>
      <c r="G13" s="5" t="s">
        <v>33</v>
      </c>
    </row>
    <row r="14" spans="1:7" ht="25.05" customHeight="1" x14ac:dyDescent="0.45">
      <c r="A14" s="4" t="s">
        <v>30</v>
      </c>
      <c r="B14" s="4" t="s">
        <v>16</v>
      </c>
      <c r="C14" s="4" t="s">
        <v>22</v>
      </c>
      <c r="D14" s="4">
        <v>128</v>
      </c>
      <c r="E14" s="4" t="s">
        <v>19</v>
      </c>
      <c r="F14" s="4">
        <v>79.5</v>
      </c>
      <c r="G14" s="5" t="s">
        <v>33</v>
      </c>
    </row>
    <row r="15" spans="1:7" ht="25.05" customHeight="1" x14ac:dyDescent="0.45">
      <c r="A15" s="4" t="s">
        <v>30</v>
      </c>
      <c r="B15" s="4" t="s">
        <v>16</v>
      </c>
      <c r="C15" s="4" t="s">
        <v>23</v>
      </c>
      <c r="D15" s="4">
        <v>139.9</v>
      </c>
      <c r="E15" s="4" t="s">
        <v>19</v>
      </c>
      <c r="F15" s="4">
        <v>82.3</v>
      </c>
      <c r="G15" s="5" t="s">
        <v>33</v>
      </c>
    </row>
    <row r="16" spans="1:7" ht="25.05" customHeight="1" x14ac:dyDescent="0.45">
      <c r="A16" s="4" t="s">
        <v>38</v>
      </c>
      <c r="B16" s="4" t="s">
        <v>16</v>
      </c>
      <c r="C16" s="4" t="s">
        <v>28</v>
      </c>
      <c r="D16" s="4">
        <v>85.1</v>
      </c>
      <c r="E16" s="4" t="s">
        <v>19</v>
      </c>
      <c r="F16" s="4">
        <v>70.900000000000006</v>
      </c>
      <c r="G16" s="5" t="s">
        <v>41</v>
      </c>
    </row>
    <row r="17" spans="1:7" ht="25.05" customHeight="1" x14ac:dyDescent="0.45">
      <c r="A17" s="4" t="s">
        <v>38</v>
      </c>
      <c r="B17" s="4" t="s">
        <v>16</v>
      </c>
      <c r="C17" s="4" t="s">
        <v>18</v>
      </c>
      <c r="D17" s="4">
        <v>93</v>
      </c>
      <c r="E17" s="4" t="s">
        <v>19</v>
      </c>
      <c r="F17" s="4">
        <v>72.099999999999994</v>
      </c>
      <c r="G17" s="5" t="s">
        <v>41</v>
      </c>
    </row>
    <row r="18" spans="1:7" ht="25.05" customHeight="1" x14ac:dyDescent="0.45">
      <c r="A18" s="4" t="s">
        <v>38</v>
      </c>
      <c r="B18" s="4" t="s">
        <v>16</v>
      </c>
      <c r="C18" s="4" t="s">
        <v>20</v>
      </c>
      <c r="D18" s="4">
        <v>101.1</v>
      </c>
      <c r="E18" s="4" t="s">
        <v>19</v>
      </c>
      <c r="F18" s="4">
        <v>72.900000000000006</v>
      </c>
      <c r="G18" s="5" t="s">
        <v>41</v>
      </c>
    </row>
    <row r="19" spans="1:7" ht="25.05" customHeight="1" x14ac:dyDescent="0.45">
      <c r="A19" s="4" t="s">
        <v>38</v>
      </c>
      <c r="B19" s="4" t="s">
        <v>16</v>
      </c>
      <c r="C19" s="4" t="s">
        <v>21</v>
      </c>
      <c r="D19" s="4">
        <v>109</v>
      </c>
      <c r="E19" s="4" t="s">
        <v>19</v>
      </c>
      <c r="F19" s="4">
        <v>74.900000000000006</v>
      </c>
      <c r="G19" s="5" t="s">
        <v>41</v>
      </c>
    </row>
    <row r="20" spans="1:7" ht="25.05" customHeight="1" x14ac:dyDescent="0.45">
      <c r="A20" s="4" t="s">
        <v>38</v>
      </c>
      <c r="B20" s="4" t="s">
        <v>16</v>
      </c>
      <c r="C20" s="4" t="s">
        <v>22</v>
      </c>
      <c r="D20" s="4">
        <v>119.1</v>
      </c>
      <c r="E20" s="4" t="s">
        <v>19</v>
      </c>
      <c r="F20" s="4">
        <v>77</v>
      </c>
      <c r="G20" s="5" t="s">
        <v>41</v>
      </c>
    </row>
    <row r="21" spans="1:7" ht="25.05" customHeight="1" x14ac:dyDescent="0.45">
      <c r="A21" s="4" t="s">
        <v>38</v>
      </c>
      <c r="B21" s="4" t="s">
        <v>16</v>
      </c>
      <c r="C21" s="4" t="s">
        <v>23</v>
      </c>
      <c r="D21" s="4">
        <v>129</v>
      </c>
      <c r="E21" s="4" t="s">
        <v>19</v>
      </c>
      <c r="F21" s="4">
        <v>79</v>
      </c>
      <c r="G21" s="5" t="s">
        <v>41</v>
      </c>
    </row>
    <row r="22" spans="1:7" ht="25.05" customHeight="1" x14ac:dyDescent="0.45">
      <c r="A22" s="4" t="s">
        <v>38</v>
      </c>
      <c r="B22" s="4" t="s">
        <v>16</v>
      </c>
      <c r="C22" s="4" t="s">
        <v>43</v>
      </c>
      <c r="D22" s="4">
        <v>138.9</v>
      </c>
      <c r="E22" s="4" t="s">
        <v>19</v>
      </c>
      <c r="F22" s="4">
        <v>81.3</v>
      </c>
      <c r="G22" s="5" t="s">
        <v>41</v>
      </c>
    </row>
    <row r="23" spans="1:7" ht="25.05" customHeight="1" x14ac:dyDescent="0.45">
      <c r="A23" s="4" t="s">
        <v>38</v>
      </c>
      <c r="B23" s="4" t="s">
        <v>16</v>
      </c>
      <c r="C23" s="4" t="s">
        <v>44</v>
      </c>
      <c r="D23" s="4">
        <v>149.1</v>
      </c>
      <c r="E23" s="4" t="s">
        <v>19</v>
      </c>
      <c r="F23" s="4">
        <v>83.8</v>
      </c>
      <c r="G23" s="5" t="s">
        <v>41</v>
      </c>
    </row>
    <row r="24" spans="1:7" ht="25.05" customHeight="1" x14ac:dyDescent="0.45">
      <c r="A24" s="4" t="s">
        <v>48</v>
      </c>
      <c r="B24" s="4" t="s">
        <v>16</v>
      </c>
      <c r="C24" s="4" t="s">
        <v>28</v>
      </c>
      <c r="D24" s="4">
        <v>83.8</v>
      </c>
      <c r="E24" s="4"/>
      <c r="F24" s="4"/>
      <c r="G24" s="5" t="s">
        <v>50</v>
      </c>
    </row>
    <row r="25" spans="1:7" ht="25.05" customHeight="1" x14ac:dyDescent="0.45">
      <c r="A25" s="4" t="s">
        <v>48</v>
      </c>
      <c r="B25" s="4" t="s">
        <v>16</v>
      </c>
      <c r="C25" s="4" t="s">
        <v>18</v>
      </c>
      <c r="D25" s="4">
        <v>92.2</v>
      </c>
      <c r="E25" s="4"/>
      <c r="F25" s="4"/>
      <c r="G25" s="5" t="s">
        <v>50</v>
      </c>
    </row>
    <row r="26" spans="1:7" ht="25.05" customHeight="1" x14ac:dyDescent="0.45">
      <c r="A26" s="4" t="s">
        <v>48</v>
      </c>
      <c r="B26" s="4" t="s">
        <v>16</v>
      </c>
      <c r="C26" s="4" t="s">
        <v>20</v>
      </c>
      <c r="D26" s="4">
        <v>100.3</v>
      </c>
      <c r="E26" s="4"/>
      <c r="F26" s="4"/>
      <c r="G26" s="5" t="s">
        <v>50</v>
      </c>
    </row>
    <row r="27" spans="1:7" ht="25.05" customHeight="1" x14ac:dyDescent="0.45">
      <c r="A27" s="4" t="s">
        <v>48</v>
      </c>
      <c r="B27" s="4" t="s">
        <v>16</v>
      </c>
      <c r="C27" s="4" t="s">
        <v>21</v>
      </c>
      <c r="D27" s="4">
        <v>108</v>
      </c>
      <c r="E27" s="4"/>
      <c r="F27" s="4"/>
      <c r="G27" s="5" t="s">
        <v>50</v>
      </c>
    </row>
    <row r="28" spans="1:7" ht="25.05" customHeight="1" x14ac:dyDescent="0.45">
      <c r="A28" s="4" t="s">
        <v>48</v>
      </c>
      <c r="B28" s="4" t="s">
        <v>16</v>
      </c>
      <c r="C28" s="4" t="s">
        <v>22</v>
      </c>
      <c r="D28" s="4">
        <v>115.6</v>
      </c>
      <c r="E28" s="4"/>
      <c r="F28" s="4"/>
      <c r="G28" s="5" t="s">
        <v>50</v>
      </c>
    </row>
    <row r="29" spans="1:7" ht="25.05" customHeight="1" x14ac:dyDescent="0.45">
      <c r="A29" s="4" t="s">
        <v>48</v>
      </c>
      <c r="B29" s="4" t="s">
        <v>16</v>
      </c>
      <c r="C29" s="4" t="s">
        <v>23</v>
      </c>
      <c r="D29" s="4">
        <v>124</v>
      </c>
      <c r="E29" s="4"/>
      <c r="F29" s="4"/>
      <c r="G29" s="5" t="s">
        <v>50</v>
      </c>
    </row>
    <row r="30" spans="1:7" ht="25.05" customHeight="1" x14ac:dyDescent="0.45">
      <c r="A30" s="4" t="s">
        <v>56</v>
      </c>
      <c r="B30" s="4" t="s">
        <v>16</v>
      </c>
      <c r="C30" s="4" t="s">
        <v>28</v>
      </c>
      <c r="D30" s="4">
        <v>91.4</v>
      </c>
      <c r="E30" s="4">
        <v>91.4</v>
      </c>
      <c r="F30" s="4">
        <v>68.599999999999994</v>
      </c>
      <c r="G30" s="5" t="s">
        <v>96</v>
      </c>
    </row>
    <row r="31" spans="1:7" ht="25.05" customHeight="1" x14ac:dyDescent="0.45">
      <c r="A31" s="4" t="s">
        <v>56</v>
      </c>
      <c r="B31" s="4" t="s">
        <v>16</v>
      </c>
      <c r="C31" s="4" t="s">
        <v>18</v>
      </c>
      <c r="D31" s="4">
        <v>96.5</v>
      </c>
      <c r="E31" s="4">
        <v>96.5</v>
      </c>
      <c r="F31" s="4">
        <v>69.8</v>
      </c>
      <c r="G31" s="5" t="s">
        <v>96</v>
      </c>
    </row>
    <row r="32" spans="1:7" ht="25.05" customHeight="1" x14ac:dyDescent="0.45">
      <c r="A32" s="4" t="s">
        <v>56</v>
      </c>
      <c r="B32" s="4" t="s">
        <v>16</v>
      </c>
      <c r="C32" s="4" t="s">
        <v>20</v>
      </c>
      <c r="D32" s="4">
        <v>101.6</v>
      </c>
      <c r="E32" s="4">
        <v>101.6</v>
      </c>
      <c r="F32" s="4">
        <v>71.099999999999994</v>
      </c>
      <c r="G32" s="5" t="s">
        <v>96</v>
      </c>
    </row>
    <row r="33" spans="1:7" ht="25.05" customHeight="1" x14ac:dyDescent="0.45">
      <c r="A33" s="4" t="s">
        <v>56</v>
      </c>
      <c r="B33" s="4" t="s">
        <v>16</v>
      </c>
      <c r="C33" s="4" t="s">
        <v>21</v>
      </c>
      <c r="D33" s="4">
        <v>106.7</v>
      </c>
      <c r="E33" s="4">
        <v>106.7</v>
      </c>
      <c r="F33" s="4">
        <v>72.400000000000006</v>
      </c>
      <c r="G33" s="5" t="s">
        <v>96</v>
      </c>
    </row>
    <row r="34" spans="1:7" ht="25.05" customHeight="1" x14ac:dyDescent="0.45">
      <c r="A34" s="4" t="s">
        <v>56</v>
      </c>
      <c r="B34" s="4" t="s">
        <v>16</v>
      </c>
      <c r="C34" s="4" t="s">
        <v>22</v>
      </c>
      <c r="D34" s="4">
        <v>113</v>
      </c>
      <c r="E34" s="4">
        <v>113</v>
      </c>
      <c r="F34" s="4">
        <v>73.7</v>
      </c>
      <c r="G34" s="5" t="s">
        <v>96</v>
      </c>
    </row>
    <row r="35" spans="1:7" ht="25.05" customHeight="1" x14ac:dyDescent="0.45">
      <c r="A35" s="4" t="s">
        <v>56</v>
      </c>
      <c r="B35" s="4" t="s">
        <v>16</v>
      </c>
      <c r="C35" s="4" t="s">
        <v>23</v>
      </c>
      <c r="D35" s="4">
        <v>119.4</v>
      </c>
      <c r="E35" s="4">
        <v>119.4</v>
      </c>
      <c r="F35" s="4">
        <v>74.900000000000006</v>
      </c>
      <c r="G35" s="5" t="s">
        <v>96</v>
      </c>
    </row>
    <row r="36" spans="1:7" ht="25.05" customHeight="1" x14ac:dyDescent="0.45">
      <c r="A36" s="4" t="s">
        <v>56</v>
      </c>
      <c r="B36" s="4" t="s">
        <v>16</v>
      </c>
      <c r="C36" s="4" t="s">
        <v>43</v>
      </c>
      <c r="D36" s="4">
        <v>127</v>
      </c>
      <c r="E36" s="4">
        <v>127</v>
      </c>
      <c r="F36" s="4">
        <v>76.2</v>
      </c>
      <c r="G36" s="5" t="s">
        <v>96</v>
      </c>
    </row>
    <row r="37" spans="1:7" ht="25.05" customHeight="1" x14ac:dyDescent="0.45">
      <c r="A37" s="4" t="s">
        <v>56</v>
      </c>
      <c r="B37" s="4" t="s">
        <v>16</v>
      </c>
      <c r="C37" s="4" t="s">
        <v>18</v>
      </c>
      <c r="D37" s="4">
        <v>96.5</v>
      </c>
      <c r="E37" s="4">
        <v>96.5</v>
      </c>
      <c r="F37" s="4">
        <v>69.8</v>
      </c>
      <c r="G37" s="5" t="s">
        <v>59</v>
      </c>
    </row>
    <row r="38" spans="1:7" ht="25.05" customHeight="1" x14ac:dyDescent="0.45">
      <c r="A38" s="4" t="s">
        <v>56</v>
      </c>
      <c r="B38" s="4" t="s">
        <v>16</v>
      </c>
      <c r="C38" s="4" t="s">
        <v>20</v>
      </c>
      <c r="D38" s="4">
        <v>101.6</v>
      </c>
      <c r="E38" s="4">
        <v>101.6</v>
      </c>
      <c r="F38" s="4">
        <v>71.099999999999994</v>
      </c>
      <c r="G38" s="5" t="s">
        <v>59</v>
      </c>
    </row>
    <row r="39" spans="1:7" ht="25.05" customHeight="1" x14ac:dyDescent="0.45">
      <c r="A39" s="4" t="s">
        <v>56</v>
      </c>
      <c r="B39" s="4" t="s">
        <v>16</v>
      </c>
      <c r="C39" s="4" t="s">
        <v>21</v>
      </c>
      <c r="D39" s="4">
        <v>106.7</v>
      </c>
      <c r="E39" s="4">
        <v>106.7</v>
      </c>
      <c r="F39" s="4">
        <v>72.400000000000006</v>
      </c>
      <c r="G39" s="5" t="s">
        <v>59</v>
      </c>
    </row>
    <row r="40" spans="1:7" ht="25.05" customHeight="1" x14ac:dyDescent="0.45">
      <c r="A40" s="4" t="s">
        <v>56</v>
      </c>
      <c r="B40" s="4" t="s">
        <v>16</v>
      </c>
      <c r="C40" s="4" t="s">
        <v>22</v>
      </c>
      <c r="D40" s="4">
        <v>113</v>
      </c>
      <c r="E40" s="4">
        <v>113</v>
      </c>
      <c r="F40" s="4">
        <v>73.7</v>
      </c>
      <c r="G40" s="5" t="s">
        <v>59</v>
      </c>
    </row>
    <row r="41" spans="1:7" ht="25.05" customHeight="1" x14ac:dyDescent="0.45">
      <c r="A41" s="4" t="s">
        <v>67</v>
      </c>
      <c r="B41" s="4" t="s">
        <v>16</v>
      </c>
      <c r="C41" s="4" t="s">
        <v>18</v>
      </c>
      <c r="D41" s="4">
        <v>96.5</v>
      </c>
      <c r="E41" s="4"/>
      <c r="F41" s="4">
        <v>66</v>
      </c>
      <c r="G41" s="5" t="s">
        <v>69</v>
      </c>
    </row>
    <row r="42" spans="1:7" ht="25.05" customHeight="1" x14ac:dyDescent="0.45">
      <c r="A42" s="4" t="s">
        <v>67</v>
      </c>
      <c r="B42" s="4" t="s">
        <v>16</v>
      </c>
      <c r="C42" s="4" t="s">
        <v>20</v>
      </c>
      <c r="D42" s="4">
        <v>101.6</v>
      </c>
      <c r="E42" s="4"/>
      <c r="F42" s="4">
        <v>68.599999999999994</v>
      </c>
      <c r="G42" s="5" t="s">
        <v>69</v>
      </c>
    </row>
    <row r="43" spans="1:7" ht="25.05" customHeight="1" x14ac:dyDescent="0.45">
      <c r="A43" s="4" t="s">
        <v>67</v>
      </c>
      <c r="B43" s="4" t="s">
        <v>16</v>
      </c>
      <c r="C43" s="4" t="s">
        <v>21</v>
      </c>
      <c r="D43" s="4">
        <v>106.7</v>
      </c>
      <c r="E43" s="4"/>
      <c r="F43" s="4">
        <v>71.099999999999994</v>
      </c>
      <c r="G43" s="5" t="s">
        <v>69</v>
      </c>
    </row>
    <row r="44" spans="1:7" ht="25.05" customHeight="1" x14ac:dyDescent="0.45">
      <c r="A44" s="4" t="s">
        <v>67</v>
      </c>
      <c r="B44" s="4" t="s">
        <v>16</v>
      </c>
      <c r="C44" s="4" t="s">
        <v>22</v>
      </c>
      <c r="D44" s="4">
        <v>111.8</v>
      </c>
      <c r="E44" s="4"/>
      <c r="F44" s="4">
        <v>73.7</v>
      </c>
      <c r="G44" s="5" t="s">
        <v>69</v>
      </c>
    </row>
    <row r="45" spans="1:7" ht="25.05" customHeight="1" x14ac:dyDescent="0.45">
      <c r="A45" s="4" t="s">
        <v>74</v>
      </c>
      <c r="B45" s="4" t="s">
        <v>16</v>
      </c>
      <c r="C45" s="4" t="s">
        <v>18</v>
      </c>
      <c r="D45" s="4">
        <v>97.8</v>
      </c>
      <c r="E45" s="4"/>
      <c r="F45" s="4">
        <v>71.099999999999994</v>
      </c>
      <c r="G45" s="5" t="s">
        <v>76</v>
      </c>
    </row>
    <row r="46" spans="1:7" ht="25.05" customHeight="1" x14ac:dyDescent="0.45">
      <c r="A46" s="4" t="s">
        <v>74</v>
      </c>
      <c r="B46" s="4" t="s">
        <v>16</v>
      </c>
      <c r="C46" s="4" t="s">
        <v>20</v>
      </c>
      <c r="D46" s="4">
        <v>102.9</v>
      </c>
      <c r="E46" s="4"/>
      <c r="F46" s="4">
        <v>72.400000000000006</v>
      </c>
      <c r="G46" s="5" t="s">
        <v>76</v>
      </c>
    </row>
    <row r="47" spans="1:7" ht="25.05" customHeight="1" x14ac:dyDescent="0.45">
      <c r="A47" s="4" t="s">
        <v>74</v>
      </c>
      <c r="B47" s="4" t="s">
        <v>16</v>
      </c>
      <c r="C47" s="4" t="s">
        <v>21</v>
      </c>
      <c r="D47" s="4">
        <v>108</v>
      </c>
      <c r="E47" s="4"/>
      <c r="F47" s="4">
        <v>73.7</v>
      </c>
      <c r="G47" s="5" t="s">
        <v>76</v>
      </c>
    </row>
    <row r="48" spans="1:7" ht="25.05" customHeight="1" x14ac:dyDescent="0.45">
      <c r="A48" s="4" t="s">
        <v>74</v>
      </c>
      <c r="B48" s="4" t="s">
        <v>16</v>
      </c>
      <c r="C48" s="4" t="s">
        <v>22</v>
      </c>
      <c r="D48" s="4">
        <v>115.6</v>
      </c>
      <c r="E48" s="4"/>
      <c r="F48" s="4">
        <v>74.900000000000006</v>
      </c>
      <c r="G48" s="5" t="s">
        <v>76</v>
      </c>
    </row>
    <row r="49" spans="1:7" ht="25.05" customHeight="1" x14ac:dyDescent="0.45">
      <c r="A49" s="4" t="s">
        <v>74</v>
      </c>
      <c r="B49" s="4" t="s">
        <v>16</v>
      </c>
      <c r="C49" s="4" t="s">
        <v>23</v>
      </c>
      <c r="D49" s="4">
        <v>123.2</v>
      </c>
      <c r="E49" s="4"/>
      <c r="F49" s="4">
        <v>76.2</v>
      </c>
      <c r="G49" s="5" t="s">
        <v>76</v>
      </c>
    </row>
    <row r="50" spans="1:7" ht="25.05" customHeight="1" x14ac:dyDescent="0.45">
      <c r="A50" s="4" t="s">
        <v>97</v>
      </c>
      <c r="B50" s="4" t="s">
        <v>16</v>
      </c>
      <c r="C50" s="4" t="s">
        <v>20</v>
      </c>
      <c r="D50" s="4">
        <v>101.6</v>
      </c>
      <c r="E50" s="4"/>
      <c r="F50" s="4">
        <v>68.599999999999994</v>
      </c>
      <c r="G50" s="5" t="s">
        <v>100</v>
      </c>
    </row>
    <row r="51" spans="1:7" ht="25.05" customHeight="1" x14ac:dyDescent="0.45">
      <c r="A51" s="4" t="s">
        <v>97</v>
      </c>
      <c r="B51" s="4" t="s">
        <v>16</v>
      </c>
      <c r="C51" s="4" t="s">
        <v>21</v>
      </c>
      <c r="D51" s="4">
        <v>106.7</v>
      </c>
      <c r="E51" s="4"/>
      <c r="F51" s="4">
        <v>71.099999999999994</v>
      </c>
      <c r="G51" s="5" t="s">
        <v>100</v>
      </c>
    </row>
    <row r="52" spans="1:7" ht="25.05" customHeight="1" x14ac:dyDescent="0.45">
      <c r="A52" s="4" t="s">
        <v>97</v>
      </c>
      <c r="B52" s="4" t="s">
        <v>16</v>
      </c>
      <c r="C52" s="4" t="s">
        <v>22</v>
      </c>
      <c r="D52" s="4">
        <v>111.8</v>
      </c>
      <c r="E52" s="4"/>
      <c r="F52" s="4">
        <v>71.099999999999994</v>
      </c>
      <c r="G52" s="5" t="s">
        <v>100</v>
      </c>
    </row>
    <row r="53" spans="1:7" ht="25.05" customHeight="1" x14ac:dyDescent="0.45">
      <c r="A53" s="4" t="s">
        <v>81</v>
      </c>
      <c r="B53" s="4" t="s">
        <v>106</v>
      </c>
      <c r="C53" s="4" t="s">
        <v>28</v>
      </c>
      <c r="D53" s="4">
        <v>94</v>
      </c>
      <c r="E53" s="4"/>
      <c r="F53" s="4">
        <v>66</v>
      </c>
      <c r="G53" s="5" t="s">
        <v>107</v>
      </c>
    </row>
    <row r="54" spans="1:7" ht="25.05" customHeight="1" x14ac:dyDescent="0.45">
      <c r="A54" s="4" t="s">
        <v>81</v>
      </c>
      <c r="B54" s="4" t="s">
        <v>106</v>
      </c>
      <c r="C54" s="4" t="s">
        <v>18</v>
      </c>
      <c r="D54" s="4">
        <v>105.2</v>
      </c>
      <c r="E54" s="4"/>
      <c r="F54" s="4">
        <v>71.099999999999994</v>
      </c>
      <c r="G54" s="5" t="s">
        <v>107</v>
      </c>
    </row>
    <row r="55" spans="1:7" ht="25.05" customHeight="1" x14ac:dyDescent="0.45">
      <c r="A55" s="4" t="s">
        <v>81</v>
      </c>
      <c r="B55" s="4" t="s">
        <v>106</v>
      </c>
      <c r="C55" s="4" t="s">
        <v>20</v>
      </c>
      <c r="D55" s="4">
        <v>111.8</v>
      </c>
      <c r="E55" s="4"/>
      <c r="F55" s="4">
        <v>73.7</v>
      </c>
      <c r="G55" s="5" t="s">
        <v>107</v>
      </c>
    </row>
    <row r="56" spans="1:7" ht="25.05" customHeight="1" x14ac:dyDescent="0.45">
      <c r="A56" s="4" t="s">
        <v>81</v>
      </c>
      <c r="B56" s="4" t="s">
        <v>106</v>
      </c>
      <c r="C56" s="4" t="s">
        <v>21</v>
      </c>
      <c r="D56" s="4">
        <v>119.4</v>
      </c>
      <c r="E56" s="4"/>
      <c r="F56" s="4">
        <v>76.2</v>
      </c>
      <c r="G56" s="5" t="s">
        <v>107</v>
      </c>
    </row>
    <row r="57" spans="1:7" ht="25.05" customHeight="1" x14ac:dyDescent="0.45">
      <c r="A57" s="4" t="s">
        <v>81</v>
      </c>
      <c r="B57" s="4" t="s">
        <v>106</v>
      </c>
      <c r="C57" s="4" t="s">
        <v>22</v>
      </c>
      <c r="D57" s="4">
        <v>127</v>
      </c>
      <c r="E57" s="4"/>
      <c r="F57" s="4">
        <v>78.7</v>
      </c>
      <c r="G57" s="5" t="s">
        <v>107</v>
      </c>
    </row>
    <row r="58" spans="1:7" ht="25.05" customHeight="1" x14ac:dyDescent="0.45">
      <c r="A58" s="4" t="s">
        <v>81</v>
      </c>
      <c r="B58" s="4" t="s">
        <v>106</v>
      </c>
      <c r="C58" s="4" t="s">
        <v>23</v>
      </c>
      <c r="D58" s="4">
        <v>134.6</v>
      </c>
      <c r="E58" s="4"/>
      <c r="F58" s="4">
        <v>81.3</v>
      </c>
      <c r="G58" s="5" t="s">
        <v>107</v>
      </c>
    </row>
    <row r="59" spans="1:7" ht="25.05" customHeight="1" x14ac:dyDescent="0.45">
      <c r="A59" s="4" t="s">
        <v>81</v>
      </c>
      <c r="B59" s="4" t="s">
        <v>106</v>
      </c>
      <c r="C59" s="4" t="s">
        <v>18</v>
      </c>
      <c r="D59" s="4">
        <v>100.3</v>
      </c>
      <c r="E59" s="4">
        <v>96.5</v>
      </c>
      <c r="F59" s="4">
        <v>71.099999999999994</v>
      </c>
      <c r="G59" s="5" t="s">
        <v>111</v>
      </c>
    </row>
    <row r="60" spans="1:7" ht="25.05" customHeight="1" x14ac:dyDescent="0.45">
      <c r="A60" s="4" t="s">
        <v>81</v>
      </c>
      <c r="B60" s="4" t="s">
        <v>106</v>
      </c>
      <c r="C60" s="4" t="s">
        <v>20</v>
      </c>
      <c r="D60" s="4">
        <v>108</v>
      </c>
      <c r="E60" s="4">
        <v>101.6</v>
      </c>
      <c r="F60" s="4">
        <v>73.7</v>
      </c>
      <c r="G60" s="5" t="s">
        <v>111</v>
      </c>
    </row>
    <row r="61" spans="1:7" ht="25.05" customHeight="1" x14ac:dyDescent="0.45">
      <c r="A61" s="4" t="s">
        <v>81</v>
      </c>
      <c r="B61" s="4" t="s">
        <v>106</v>
      </c>
      <c r="C61" s="4" t="s">
        <v>21</v>
      </c>
      <c r="D61" s="4">
        <v>115.6</v>
      </c>
      <c r="E61" s="4">
        <v>106.7</v>
      </c>
      <c r="F61" s="4">
        <v>76.2</v>
      </c>
      <c r="G61" s="5" t="s">
        <v>111</v>
      </c>
    </row>
    <row r="62" spans="1:7" ht="25.05" customHeight="1" x14ac:dyDescent="0.45">
      <c r="A62" s="4" t="s">
        <v>81</v>
      </c>
      <c r="B62" s="4" t="s">
        <v>106</v>
      </c>
      <c r="C62" s="4" t="s">
        <v>22</v>
      </c>
      <c r="D62" s="4">
        <v>123.2</v>
      </c>
      <c r="E62" s="4">
        <v>111.8</v>
      </c>
      <c r="F62" s="4">
        <v>78.7</v>
      </c>
      <c r="G62" s="5" t="s">
        <v>111</v>
      </c>
    </row>
    <row r="63" spans="1:7" ht="25.05" customHeight="1" x14ac:dyDescent="0.45">
      <c r="A63" s="4" t="s">
        <v>81</v>
      </c>
      <c r="B63" s="4" t="s">
        <v>106</v>
      </c>
      <c r="C63" s="4" t="s">
        <v>23</v>
      </c>
      <c r="D63" s="4">
        <v>130.80000000000001</v>
      </c>
      <c r="E63" s="4">
        <v>116.8</v>
      </c>
      <c r="F63" s="4">
        <v>80</v>
      </c>
      <c r="G63" s="5" t="s">
        <v>111</v>
      </c>
    </row>
    <row r="64" spans="1:7" ht="25.05" customHeight="1" x14ac:dyDescent="0.45">
      <c r="A64" s="4" t="s">
        <v>113</v>
      </c>
      <c r="B64" s="4" t="s">
        <v>106</v>
      </c>
      <c r="C64" s="4" t="s">
        <v>18</v>
      </c>
      <c r="D64" s="4">
        <v>104.1</v>
      </c>
      <c r="E64" s="4">
        <v>96.5</v>
      </c>
      <c r="F64" s="4">
        <v>73.7</v>
      </c>
      <c r="G64" s="5" t="s">
        <v>115</v>
      </c>
    </row>
    <row r="65" spans="1:7" ht="25.05" customHeight="1" x14ac:dyDescent="0.45">
      <c r="A65" s="4" t="s">
        <v>113</v>
      </c>
      <c r="B65" s="4" t="s">
        <v>106</v>
      </c>
      <c r="C65" s="4" t="s">
        <v>20</v>
      </c>
      <c r="D65" s="4">
        <v>109.2</v>
      </c>
      <c r="E65" s="4">
        <v>101.6</v>
      </c>
      <c r="F65" s="4">
        <v>74.900000000000006</v>
      </c>
      <c r="G65" s="5" t="s">
        <v>115</v>
      </c>
    </row>
    <row r="66" spans="1:7" ht="25.05" customHeight="1" x14ac:dyDescent="0.45">
      <c r="A66" s="4" t="s">
        <v>113</v>
      </c>
      <c r="B66" s="4" t="s">
        <v>106</v>
      </c>
      <c r="C66" s="4" t="s">
        <v>21</v>
      </c>
      <c r="D66" s="4">
        <v>114.3</v>
      </c>
      <c r="E66" s="4">
        <v>106.7</v>
      </c>
      <c r="F66" s="4">
        <v>76.2</v>
      </c>
      <c r="G66" s="5" t="s">
        <v>115</v>
      </c>
    </row>
    <row r="67" spans="1:7" ht="25.05" customHeight="1" x14ac:dyDescent="0.45">
      <c r="A67" s="4" t="s">
        <v>113</v>
      </c>
      <c r="B67" s="4" t="s">
        <v>106</v>
      </c>
      <c r="C67" s="4" t="s">
        <v>22</v>
      </c>
      <c r="D67" s="4">
        <v>119.4</v>
      </c>
      <c r="E67" s="4">
        <v>111.8</v>
      </c>
      <c r="F67" s="4">
        <v>77.5</v>
      </c>
      <c r="G67" s="5" t="s">
        <v>115</v>
      </c>
    </row>
    <row r="68" spans="1:7" ht="25.05" customHeight="1" x14ac:dyDescent="0.45">
      <c r="A68" s="4" t="s">
        <v>38</v>
      </c>
      <c r="B68" s="4" t="s">
        <v>106</v>
      </c>
      <c r="C68" s="4" t="s">
        <v>28</v>
      </c>
      <c r="D68" s="4">
        <v>90.9</v>
      </c>
      <c r="E68" s="4"/>
      <c r="F68" s="4">
        <v>70.900000000000006</v>
      </c>
      <c r="G68" s="5" t="s">
        <v>118</v>
      </c>
    </row>
    <row r="69" spans="1:7" ht="25.05" customHeight="1" x14ac:dyDescent="0.45">
      <c r="A69" s="4" t="s">
        <v>38</v>
      </c>
      <c r="B69" s="4" t="s">
        <v>106</v>
      </c>
      <c r="C69" s="4" t="s">
        <v>18</v>
      </c>
      <c r="D69" s="4">
        <v>99.1</v>
      </c>
      <c r="E69" s="4"/>
      <c r="F69" s="4">
        <v>72.099999999999994</v>
      </c>
      <c r="G69" s="5" t="s">
        <v>118</v>
      </c>
    </row>
    <row r="70" spans="1:7" ht="25.05" customHeight="1" x14ac:dyDescent="0.45">
      <c r="A70" s="4" t="s">
        <v>38</v>
      </c>
      <c r="B70" s="4" t="s">
        <v>106</v>
      </c>
      <c r="C70" s="4" t="s">
        <v>20</v>
      </c>
      <c r="D70" s="4">
        <v>106.9</v>
      </c>
      <c r="E70" s="4"/>
      <c r="F70" s="4">
        <v>72.900000000000006</v>
      </c>
      <c r="G70" s="5" t="s">
        <v>118</v>
      </c>
    </row>
    <row r="71" spans="1:7" ht="25.05" customHeight="1" x14ac:dyDescent="0.45">
      <c r="A71" s="4" t="s">
        <v>38</v>
      </c>
      <c r="B71" s="4" t="s">
        <v>106</v>
      </c>
      <c r="C71" s="4" t="s">
        <v>21</v>
      </c>
      <c r="D71" s="4">
        <v>115.1</v>
      </c>
      <c r="E71" s="4"/>
      <c r="F71" s="4">
        <v>74.900000000000006</v>
      </c>
      <c r="G71" s="5" t="s">
        <v>118</v>
      </c>
    </row>
    <row r="72" spans="1:7" ht="25.05" customHeight="1" x14ac:dyDescent="0.45">
      <c r="A72" s="4" t="s">
        <v>38</v>
      </c>
      <c r="B72" s="4" t="s">
        <v>106</v>
      </c>
      <c r="C72" s="4" t="s">
        <v>22</v>
      </c>
      <c r="D72" s="4">
        <v>125</v>
      </c>
      <c r="E72" s="4"/>
      <c r="F72" s="4">
        <v>77</v>
      </c>
      <c r="G72" s="5" t="s">
        <v>118</v>
      </c>
    </row>
    <row r="73" spans="1:7" ht="25.05" customHeight="1" x14ac:dyDescent="0.45">
      <c r="A73" s="4" t="s">
        <v>38</v>
      </c>
      <c r="B73" s="4" t="s">
        <v>106</v>
      </c>
      <c r="C73" s="4" t="s">
        <v>23</v>
      </c>
      <c r="D73" s="4">
        <v>134.9</v>
      </c>
      <c r="E73" s="4"/>
      <c r="F73" s="4">
        <v>79</v>
      </c>
      <c r="G73" s="5" t="s">
        <v>118</v>
      </c>
    </row>
    <row r="74" spans="1:7" ht="25.05" customHeight="1" x14ac:dyDescent="0.45">
      <c r="A74" s="4" t="s">
        <v>48</v>
      </c>
      <c r="B74" s="4" t="s">
        <v>106</v>
      </c>
      <c r="C74" s="4" t="s">
        <v>28</v>
      </c>
      <c r="D74" s="4">
        <v>82</v>
      </c>
      <c r="E74" s="4"/>
      <c r="F74" s="4"/>
      <c r="G74" s="5" t="s">
        <v>121</v>
      </c>
    </row>
    <row r="75" spans="1:7" ht="25.05" customHeight="1" x14ac:dyDescent="0.45">
      <c r="A75" s="4" t="s">
        <v>48</v>
      </c>
      <c r="B75" s="4" t="s">
        <v>106</v>
      </c>
      <c r="C75" s="4" t="s">
        <v>18</v>
      </c>
      <c r="D75" s="4">
        <v>87.9</v>
      </c>
      <c r="E75" s="4"/>
      <c r="F75" s="4"/>
      <c r="G75" s="5" t="s">
        <v>121</v>
      </c>
    </row>
    <row r="76" spans="1:7" ht="25.05" customHeight="1" x14ac:dyDescent="0.45">
      <c r="A76" s="4" t="s">
        <v>48</v>
      </c>
      <c r="B76" s="4" t="s">
        <v>106</v>
      </c>
      <c r="C76" s="4" t="s">
        <v>20</v>
      </c>
      <c r="D76" s="4">
        <v>96</v>
      </c>
      <c r="E76" s="4"/>
      <c r="F76" s="4"/>
      <c r="G76" s="5" t="s">
        <v>121</v>
      </c>
    </row>
    <row r="77" spans="1:7" ht="25.05" customHeight="1" x14ac:dyDescent="0.45">
      <c r="A77" s="4" t="s">
        <v>48</v>
      </c>
      <c r="B77" s="4" t="s">
        <v>106</v>
      </c>
      <c r="C77" s="4" t="s">
        <v>21</v>
      </c>
      <c r="D77" s="4">
        <v>104.1</v>
      </c>
      <c r="E77" s="4"/>
      <c r="F77" s="4"/>
      <c r="G77" s="5" t="s">
        <v>121</v>
      </c>
    </row>
    <row r="78" spans="1:7" ht="25.05" customHeight="1" x14ac:dyDescent="0.45">
      <c r="A78" s="4" t="s">
        <v>48</v>
      </c>
      <c r="B78" s="4" t="s">
        <v>106</v>
      </c>
      <c r="C78" s="4" t="s">
        <v>22</v>
      </c>
      <c r="D78" s="4">
        <v>111.8</v>
      </c>
      <c r="E78" s="4"/>
      <c r="F78" s="4"/>
      <c r="G78" s="5" t="s">
        <v>121</v>
      </c>
    </row>
    <row r="79" spans="1:7" ht="25.05" customHeight="1" x14ac:dyDescent="0.45">
      <c r="A79" s="4" t="s">
        <v>48</v>
      </c>
      <c r="B79" s="4" t="s">
        <v>106</v>
      </c>
      <c r="C79" s="4" t="s">
        <v>23</v>
      </c>
      <c r="D79" s="4">
        <v>120.1</v>
      </c>
      <c r="E79" s="4"/>
      <c r="F79" s="4"/>
      <c r="G79" s="5" t="s">
        <v>121</v>
      </c>
    </row>
    <row r="80" spans="1:7" ht="25.05" customHeight="1" x14ac:dyDescent="0.45">
      <c r="A80" s="4" t="s">
        <v>56</v>
      </c>
      <c r="B80" s="4" t="s">
        <v>106</v>
      </c>
      <c r="C80" s="4" t="s">
        <v>18</v>
      </c>
      <c r="D80" s="4">
        <v>100.3</v>
      </c>
      <c r="E80" s="4"/>
      <c r="F80" s="4">
        <v>73.7</v>
      </c>
      <c r="G80" s="5" t="s">
        <v>124</v>
      </c>
    </row>
    <row r="81" spans="1:7" ht="25.05" customHeight="1" x14ac:dyDescent="0.45">
      <c r="A81" s="4" t="s">
        <v>56</v>
      </c>
      <c r="B81" s="4" t="s">
        <v>106</v>
      </c>
      <c r="C81" s="4" t="s">
        <v>20</v>
      </c>
      <c r="D81" s="4">
        <v>107.4</v>
      </c>
      <c r="E81" s="4"/>
      <c r="F81" s="4">
        <v>74.900000000000006</v>
      </c>
      <c r="G81" s="5" t="s">
        <v>124</v>
      </c>
    </row>
    <row r="82" spans="1:7" ht="25.05" customHeight="1" x14ac:dyDescent="0.45">
      <c r="A82" s="4" t="s">
        <v>56</v>
      </c>
      <c r="B82" s="4" t="s">
        <v>106</v>
      </c>
      <c r="C82" s="4" t="s">
        <v>21</v>
      </c>
      <c r="D82" s="4">
        <v>115.1</v>
      </c>
      <c r="E82" s="4"/>
      <c r="F82" s="4">
        <v>76.2</v>
      </c>
      <c r="G82" s="5" t="s">
        <v>124</v>
      </c>
    </row>
    <row r="83" spans="1:7" ht="25.05" customHeight="1" x14ac:dyDescent="0.45">
      <c r="A83" s="4" t="s">
        <v>56</v>
      </c>
      <c r="B83" s="4" t="s">
        <v>106</v>
      </c>
      <c r="C83" s="4" t="s">
        <v>22</v>
      </c>
      <c r="D83" s="4">
        <v>122.7</v>
      </c>
      <c r="E83" s="4"/>
      <c r="F83" s="4">
        <v>77.5</v>
      </c>
      <c r="G83" s="5" t="s">
        <v>124</v>
      </c>
    </row>
    <row r="84" spans="1:7" ht="25.05" customHeight="1" x14ac:dyDescent="0.45">
      <c r="A84" s="4" t="s">
        <v>56</v>
      </c>
      <c r="B84" s="4" t="s">
        <v>106</v>
      </c>
      <c r="C84" s="4" t="s">
        <v>18</v>
      </c>
      <c r="D84" s="4">
        <v>96.5</v>
      </c>
      <c r="E84" s="4">
        <v>94</v>
      </c>
      <c r="F84" s="4">
        <v>73.7</v>
      </c>
      <c r="G84" s="5" t="s">
        <v>127</v>
      </c>
    </row>
    <row r="85" spans="1:7" ht="25.05" customHeight="1" x14ac:dyDescent="0.45">
      <c r="A85" s="4" t="s">
        <v>56</v>
      </c>
      <c r="B85" s="4" t="s">
        <v>106</v>
      </c>
      <c r="C85" s="4" t="s">
        <v>20</v>
      </c>
      <c r="D85" s="4">
        <v>106.7</v>
      </c>
      <c r="E85" s="4">
        <v>101.1</v>
      </c>
      <c r="F85" s="4">
        <v>73.7</v>
      </c>
      <c r="G85" s="5" t="s">
        <v>127</v>
      </c>
    </row>
    <row r="86" spans="1:7" ht="25.05" customHeight="1" x14ac:dyDescent="0.45">
      <c r="A86" s="4" t="s">
        <v>56</v>
      </c>
      <c r="B86" s="4" t="s">
        <v>106</v>
      </c>
      <c r="C86" s="4" t="s">
        <v>21</v>
      </c>
      <c r="D86" s="4">
        <v>114.3</v>
      </c>
      <c r="E86" s="4">
        <v>108.7</v>
      </c>
      <c r="F86" s="4">
        <v>73.7</v>
      </c>
      <c r="G86" s="5" t="s">
        <v>127</v>
      </c>
    </row>
    <row r="87" spans="1:7" ht="25.05" customHeight="1" x14ac:dyDescent="0.45">
      <c r="A87" s="4" t="s">
        <v>56</v>
      </c>
      <c r="B87" s="4" t="s">
        <v>106</v>
      </c>
      <c r="C87" s="4" t="s">
        <v>22</v>
      </c>
      <c r="D87" s="4">
        <v>121.9</v>
      </c>
      <c r="E87" s="4">
        <v>116.3</v>
      </c>
      <c r="F87" s="4">
        <v>77.5</v>
      </c>
      <c r="G87" s="5" t="s">
        <v>127</v>
      </c>
    </row>
    <row r="88" spans="1:7" ht="25.05" customHeight="1" x14ac:dyDescent="0.45">
      <c r="A88" s="4" t="s">
        <v>56</v>
      </c>
      <c r="B88" s="4" t="s">
        <v>106</v>
      </c>
      <c r="C88" s="4" t="s">
        <v>23</v>
      </c>
      <c r="D88" s="4">
        <v>130.30000000000001</v>
      </c>
      <c r="E88" s="4">
        <v>124</v>
      </c>
      <c r="F88" s="4">
        <v>77.5</v>
      </c>
      <c r="G88" s="5" t="s">
        <v>127</v>
      </c>
    </row>
    <row r="89" spans="1:7" ht="25.05" customHeight="1" x14ac:dyDescent="0.45">
      <c r="A89" s="4" t="s">
        <v>67</v>
      </c>
      <c r="B89" s="4" t="s">
        <v>106</v>
      </c>
      <c r="C89" s="4" t="s">
        <v>18</v>
      </c>
      <c r="D89" s="4">
        <v>100.3</v>
      </c>
      <c r="E89" s="4"/>
      <c r="F89" s="4">
        <v>73.7</v>
      </c>
      <c r="G89" s="5" t="s">
        <v>130</v>
      </c>
    </row>
    <row r="90" spans="1:7" ht="25.05" customHeight="1" x14ac:dyDescent="0.45">
      <c r="A90" s="4" t="s">
        <v>67</v>
      </c>
      <c r="B90" s="4" t="s">
        <v>106</v>
      </c>
      <c r="C90" s="4" t="s">
        <v>20</v>
      </c>
      <c r="D90" s="4">
        <v>107.4</v>
      </c>
      <c r="E90" s="4"/>
      <c r="F90" s="4">
        <v>74.7</v>
      </c>
      <c r="G90" s="5" t="s">
        <v>130</v>
      </c>
    </row>
    <row r="91" spans="1:7" ht="25.05" customHeight="1" x14ac:dyDescent="0.45">
      <c r="A91" s="4" t="s">
        <v>67</v>
      </c>
      <c r="B91" s="4" t="s">
        <v>106</v>
      </c>
      <c r="C91" s="4" t="s">
        <v>21</v>
      </c>
      <c r="D91" s="4">
        <v>115.1</v>
      </c>
      <c r="E91" s="4"/>
      <c r="F91" s="4">
        <v>74.7</v>
      </c>
      <c r="G91" s="5" t="s">
        <v>130</v>
      </c>
    </row>
    <row r="92" spans="1:7" ht="25.05" customHeight="1" x14ac:dyDescent="0.45">
      <c r="A92" s="4" t="s">
        <v>67</v>
      </c>
      <c r="B92" s="4" t="s">
        <v>106</v>
      </c>
      <c r="C92" s="4" t="s">
        <v>22</v>
      </c>
      <c r="D92" s="4">
        <v>122.7</v>
      </c>
      <c r="E92" s="4"/>
      <c r="F92" s="4">
        <v>76.5</v>
      </c>
      <c r="G92" s="5" t="s">
        <v>130</v>
      </c>
    </row>
    <row r="93" spans="1:7" ht="25.05" customHeight="1" x14ac:dyDescent="0.45">
      <c r="A93" s="4" t="s">
        <v>74</v>
      </c>
      <c r="B93" s="4" t="s">
        <v>106</v>
      </c>
      <c r="C93" s="4" t="s">
        <v>18</v>
      </c>
      <c r="D93" s="4">
        <v>107.4</v>
      </c>
      <c r="E93" s="4"/>
      <c r="F93" s="4">
        <v>73.7</v>
      </c>
      <c r="G93" s="5" t="s">
        <v>133</v>
      </c>
    </row>
    <row r="94" spans="1:7" ht="25.05" customHeight="1" x14ac:dyDescent="0.45">
      <c r="A94" s="4" t="s">
        <v>74</v>
      </c>
      <c r="B94" s="4" t="s">
        <v>106</v>
      </c>
      <c r="C94" s="4" t="s">
        <v>20</v>
      </c>
      <c r="D94" s="4">
        <v>112.5</v>
      </c>
      <c r="E94" s="4"/>
      <c r="F94" s="4">
        <v>74.900000000000006</v>
      </c>
      <c r="G94" s="5" t="s">
        <v>133</v>
      </c>
    </row>
    <row r="95" spans="1:7" ht="25.05" customHeight="1" x14ac:dyDescent="0.45">
      <c r="A95" s="4" t="s">
        <v>74</v>
      </c>
      <c r="B95" s="4" t="s">
        <v>106</v>
      </c>
      <c r="C95" s="4" t="s">
        <v>21</v>
      </c>
      <c r="D95" s="4">
        <v>117.6</v>
      </c>
      <c r="E95" s="4"/>
      <c r="F95" s="4">
        <v>76.2</v>
      </c>
      <c r="G95" s="5" t="s">
        <v>133</v>
      </c>
    </row>
    <row r="96" spans="1:7" ht="25.05" customHeight="1" x14ac:dyDescent="0.45">
      <c r="A96" s="4" t="s">
        <v>74</v>
      </c>
      <c r="B96" s="4" t="s">
        <v>106</v>
      </c>
      <c r="C96" s="4" t="s">
        <v>22</v>
      </c>
      <c r="D96" s="4">
        <v>122.7</v>
      </c>
      <c r="E96" s="4"/>
      <c r="F96" s="4">
        <v>77.5</v>
      </c>
      <c r="G96" s="5" t="s">
        <v>133</v>
      </c>
    </row>
    <row r="97" spans="1:7" ht="25.05" customHeight="1" x14ac:dyDescent="0.45">
      <c r="A97" s="4" t="s">
        <v>74</v>
      </c>
      <c r="B97" s="4" t="s">
        <v>106</v>
      </c>
      <c r="C97" s="4" t="s">
        <v>23</v>
      </c>
      <c r="D97" s="4">
        <v>127.8</v>
      </c>
      <c r="E97" s="4"/>
      <c r="F97" s="4">
        <v>81.3</v>
      </c>
      <c r="G97" s="5" t="s">
        <v>133</v>
      </c>
    </row>
    <row r="98" spans="1:7" ht="25.05" customHeight="1" x14ac:dyDescent="0.45">
      <c r="A98" s="4" t="s">
        <v>97</v>
      </c>
      <c r="B98" s="4" t="s">
        <v>106</v>
      </c>
      <c r="C98" s="4" t="s">
        <v>18</v>
      </c>
      <c r="D98" s="4">
        <v>101.6</v>
      </c>
      <c r="E98" s="4"/>
      <c r="F98" s="4">
        <v>73.7</v>
      </c>
      <c r="G98" s="5" t="s">
        <v>137</v>
      </c>
    </row>
    <row r="99" spans="1:7" ht="25.05" customHeight="1" x14ac:dyDescent="0.45">
      <c r="A99" s="4" t="s">
        <v>97</v>
      </c>
      <c r="B99" s="4" t="s">
        <v>106</v>
      </c>
      <c r="C99" s="4" t="s">
        <v>20</v>
      </c>
      <c r="D99" s="4">
        <v>106.7</v>
      </c>
      <c r="E99" s="4"/>
      <c r="F99" s="4">
        <v>74.900000000000006</v>
      </c>
      <c r="G99" s="5" t="s">
        <v>137</v>
      </c>
    </row>
    <row r="100" spans="1:7" ht="25.05" customHeight="1" x14ac:dyDescent="0.45">
      <c r="A100" s="4" t="s">
        <v>97</v>
      </c>
      <c r="B100" s="4" t="s">
        <v>106</v>
      </c>
      <c r="C100" s="4" t="s">
        <v>21</v>
      </c>
      <c r="D100" s="4">
        <v>111.8</v>
      </c>
      <c r="E100" s="4"/>
      <c r="F100" s="4">
        <v>76.2</v>
      </c>
      <c r="G100" s="5" t="s">
        <v>137</v>
      </c>
    </row>
    <row r="101" spans="1:7" ht="25.05" customHeight="1" x14ac:dyDescent="0.45">
      <c r="A101" s="4" t="s">
        <v>97</v>
      </c>
      <c r="B101" s="4" t="s">
        <v>106</v>
      </c>
      <c r="C101" s="4" t="s">
        <v>22</v>
      </c>
      <c r="D101" s="4">
        <v>116.8</v>
      </c>
      <c r="E101" s="4"/>
      <c r="F101" s="4">
        <v>77.5</v>
      </c>
      <c r="G101" s="5" t="s">
        <v>137</v>
      </c>
    </row>
    <row r="102" spans="1:7" ht="25.05" customHeight="1" x14ac:dyDescent="0.45">
      <c r="A102" s="4" t="s">
        <v>97</v>
      </c>
      <c r="B102" s="4" t="s">
        <v>106</v>
      </c>
      <c r="C102" s="4" t="s">
        <v>23</v>
      </c>
      <c r="D102" s="4">
        <v>124.5</v>
      </c>
      <c r="E102" s="4"/>
      <c r="F102" s="4">
        <v>78.7</v>
      </c>
      <c r="G102" s="5" t="s">
        <v>137</v>
      </c>
    </row>
    <row r="103" spans="1:7" ht="25.05" customHeight="1" x14ac:dyDescent="0.45">
      <c r="A103" s="4" t="s">
        <v>81</v>
      </c>
      <c r="B103" s="4" t="s">
        <v>170</v>
      </c>
      <c r="C103" s="4" t="s">
        <v>28</v>
      </c>
      <c r="D103" s="4">
        <v>94</v>
      </c>
      <c r="E103" s="4"/>
      <c r="F103" s="4">
        <v>58.4</v>
      </c>
      <c r="G103" s="5" t="s">
        <v>172</v>
      </c>
    </row>
    <row r="104" spans="1:7" ht="25.05" customHeight="1" x14ac:dyDescent="0.45">
      <c r="A104" s="4" t="s">
        <v>81</v>
      </c>
      <c r="B104" s="4" t="s">
        <v>170</v>
      </c>
      <c r="C104" s="4" t="s">
        <v>18</v>
      </c>
      <c r="D104" s="4">
        <v>99.1</v>
      </c>
      <c r="E104" s="4"/>
      <c r="F104" s="4">
        <v>59.7</v>
      </c>
      <c r="G104" s="5" t="s">
        <v>172</v>
      </c>
    </row>
    <row r="105" spans="1:7" ht="25.05" customHeight="1" x14ac:dyDescent="0.45">
      <c r="A105" s="4" t="s">
        <v>81</v>
      </c>
      <c r="B105" s="4" t="s">
        <v>170</v>
      </c>
      <c r="C105" s="4" t="s">
        <v>20</v>
      </c>
      <c r="D105" s="4">
        <v>104.1</v>
      </c>
      <c r="E105" s="4"/>
      <c r="F105" s="4">
        <v>61</v>
      </c>
      <c r="G105" s="5" t="s">
        <v>172</v>
      </c>
    </row>
    <row r="106" spans="1:7" ht="25.05" customHeight="1" x14ac:dyDescent="0.45">
      <c r="A106" s="4" t="s">
        <v>81</v>
      </c>
      <c r="B106" s="4" t="s">
        <v>170</v>
      </c>
      <c r="C106" s="4" t="s">
        <v>21</v>
      </c>
      <c r="D106" s="4">
        <v>109.2</v>
      </c>
      <c r="E106" s="4"/>
      <c r="F106" s="4">
        <v>68.599999999999994</v>
      </c>
      <c r="G106" s="5" t="s">
        <v>172</v>
      </c>
    </row>
    <row r="107" spans="1:7" ht="25.05" customHeight="1" x14ac:dyDescent="0.45">
      <c r="A107" s="4" t="s">
        <v>81</v>
      </c>
      <c r="B107" s="4" t="s">
        <v>170</v>
      </c>
      <c r="C107" s="4" t="s">
        <v>22</v>
      </c>
      <c r="D107" s="4">
        <v>116.8</v>
      </c>
      <c r="E107" s="4"/>
      <c r="F107" s="4">
        <v>63.8</v>
      </c>
      <c r="G107" s="5" t="s">
        <v>172</v>
      </c>
    </row>
    <row r="108" spans="1:7" ht="25.05" customHeight="1" x14ac:dyDescent="0.45">
      <c r="A108" s="4" t="s">
        <v>30</v>
      </c>
      <c r="B108" s="4" t="s">
        <v>170</v>
      </c>
      <c r="C108" s="4" t="s">
        <v>28</v>
      </c>
      <c r="D108" s="4">
        <v>73.900000000000006</v>
      </c>
      <c r="E108" s="4"/>
      <c r="F108" s="4">
        <v>60.7</v>
      </c>
      <c r="G108" s="5" t="s">
        <v>175</v>
      </c>
    </row>
    <row r="109" spans="1:7" ht="25.05" customHeight="1" x14ac:dyDescent="0.45">
      <c r="A109" s="4" t="s">
        <v>30</v>
      </c>
      <c r="B109" s="4" t="s">
        <v>170</v>
      </c>
      <c r="C109" s="4" t="s">
        <v>18</v>
      </c>
      <c r="D109" s="4">
        <v>80</v>
      </c>
      <c r="E109" s="4"/>
      <c r="F109" s="4">
        <v>62.5</v>
      </c>
      <c r="G109" s="5" t="s">
        <v>175</v>
      </c>
    </row>
    <row r="110" spans="1:7" ht="25.05" customHeight="1" x14ac:dyDescent="0.45">
      <c r="A110" s="4" t="s">
        <v>30</v>
      </c>
      <c r="B110" s="4" t="s">
        <v>170</v>
      </c>
      <c r="C110" s="4" t="s">
        <v>20</v>
      </c>
      <c r="D110" s="4">
        <v>86.1</v>
      </c>
      <c r="E110" s="4"/>
      <c r="F110" s="4">
        <v>64.5</v>
      </c>
      <c r="G110" s="5" t="s">
        <v>175</v>
      </c>
    </row>
    <row r="111" spans="1:7" ht="25.05" customHeight="1" x14ac:dyDescent="0.45">
      <c r="A111" s="4" t="s">
        <v>30</v>
      </c>
      <c r="B111" s="4" t="s">
        <v>170</v>
      </c>
      <c r="C111" s="4" t="s">
        <v>21</v>
      </c>
      <c r="D111" s="4">
        <v>93</v>
      </c>
      <c r="E111" s="4"/>
      <c r="F111" s="4">
        <v>66.3</v>
      </c>
      <c r="G111" s="5" t="s">
        <v>175</v>
      </c>
    </row>
    <row r="112" spans="1:7" ht="25.05" customHeight="1" x14ac:dyDescent="0.45">
      <c r="A112" s="4" t="s">
        <v>30</v>
      </c>
      <c r="B112" s="4" t="s">
        <v>170</v>
      </c>
      <c r="C112" s="4" t="s">
        <v>22</v>
      </c>
      <c r="D112" s="4">
        <v>101.1</v>
      </c>
      <c r="E112" s="4"/>
      <c r="F112" s="4">
        <v>68.099999999999994</v>
      </c>
      <c r="G112" s="5" t="s">
        <v>175</v>
      </c>
    </row>
    <row r="113" spans="1:7" ht="25.05" customHeight="1" x14ac:dyDescent="0.45">
      <c r="A113" s="4" t="s">
        <v>30</v>
      </c>
      <c r="B113" s="4" t="s">
        <v>170</v>
      </c>
      <c r="C113" s="4" t="s">
        <v>23</v>
      </c>
      <c r="D113" s="4">
        <v>110</v>
      </c>
      <c r="E113" s="4"/>
      <c r="F113" s="4">
        <v>69.8</v>
      </c>
      <c r="G113" s="5" t="s">
        <v>175</v>
      </c>
    </row>
    <row r="114" spans="1:7" ht="25.05" customHeight="1" x14ac:dyDescent="0.45">
      <c r="A114" s="4" t="s">
        <v>38</v>
      </c>
      <c r="B114" s="4" t="s">
        <v>178</v>
      </c>
      <c r="C114" s="4" t="s">
        <v>202</v>
      </c>
      <c r="D114" s="4">
        <v>72.900000000000006</v>
      </c>
      <c r="E114" s="4"/>
      <c r="F114" s="4">
        <v>56.9</v>
      </c>
      <c r="G114" s="5" t="s">
        <v>180</v>
      </c>
    </row>
    <row r="115" spans="1:7" ht="25.05" customHeight="1" x14ac:dyDescent="0.45">
      <c r="A115" s="4" t="s">
        <v>38</v>
      </c>
      <c r="B115" s="4" t="s">
        <v>178</v>
      </c>
      <c r="C115" s="4" t="s">
        <v>28</v>
      </c>
      <c r="D115" s="4">
        <v>77</v>
      </c>
      <c r="E115" s="4"/>
      <c r="F115" s="4">
        <v>57.9</v>
      </c>
      <c r="G115" s="5" t="s">
        <v>180</v>
      </c>
    </row>
    <row r="116" spans="1:7" ht="25.05" customHeight="1" x14ac:dyDescent="0.45">
      <c r="A116" s="4" t="s">
        <v>38</v>
      </c>
      <c r="B116" s="4" t="s">
        <v>178</v>
      </c>
      <c r="C116" s="4" t="s">
        <v>18</v>
      </c>
      <c r="D116" s="4">
        <v>81</v>
      </c>
      <c r="E116" s="4"/>
      <c r="F116" s="4">
        <v>58.9</v>
      </c>
      <c r="G116" s="5" t="s">
        <v>180</v>
      </c>
    </row>
    <row r="117" spans="1:7" ht="25.05" customHeight="1" x14ac:dyDescent="0.45">
      <c r="A117" s="4" t="s">
        <v>38</v>
      </c>
      <c r="B117" s="4" t="s">
        <v>178</v>
      </c>
      <c r="C117" s="4" t="s">
        <v>20</v>
      </c>
      <c r="D117" s="4">
        <v>86.1</v>
      </c>
      <c r="E117" s="4"/>
      <c r="F117" s="4">
        <v>59.9</v>
      </c>
      <c r="G117" s="5" t="s">
        <v>180</v>
      </c>
    </row>
    <row r="118" spans="1:7" ht="25.05" customHeight="1" x14ac:dyDescent="0.45">
      <c r="A118" s="4" t="s">
        <v>38</v>
      </c>
      <c r="B118" s="4" t="s">
        <v>178</v>
      </c>
      <c r="C118" s="4" t="s">
        <v>21</v>
      </c>
      <c r="D118" s="4">
        <v>90.9</v>
      </c>
      <c r="E118" s="4"/>
      <c r="F118" s="4">
        <v>62</v>
      </c>
      <c r="G118" s="5" t="s">
        <v>180</v>
      </c>
    </row>
    <row r="119" spans="1:7" ht="25.05" customHeight="1" x14ac:dyDescent="0.45">
      <c r="A119" s="4" t="s">
        <v>38</v>
      </c>
      <c r="B119" s="4" t="s">
        <v>178</v>
      </c>
      <c r="C119" s="4" t="s">
        <v>22</v>
      </c>
      <c r="D119" s="4">
        <v>96</v>
      </c>
      <c r="E119" s="4"/>
      <c r="F119" s="4">
        <v>64.3</v>
      </c>
      <c r="G119" s="5" t="s">
        <v>180</v>
      </c>
    </row>
    <row r="120" spans="1:7" ht="25.05" customHeight="1" x14ac:dyDescent="0.45">
      <c r="A120" s="4" t="s">
        <v>38</v>
      </c>
      <c r="B120" s="4" t="s">
        <v>178</v>
      </c>
      <c r="C120" s="4" t="s">
        <v>23</v>
      </c>
      <c r="D120" s="4">
        <v>102.1</v>
      </c>
      <c r="E120" s="4"/>
      <c r="F120" s="4">
        <v>66.3</v>
      </c>
      <c r="G120" s="5" t="s">
        <v>180</v>
      </c>
    </row>
    <row r="121" spans="1:7" ht="25.05" customHeight="1" x14ac:dyDescent="0.45">
      <c r="A121" s="4" t="s">
        <v>48</v>
      </c>
      <c r="B121" s="4" t="s">
        <v>170</v>
      </c>
      <c r="C121" s="4" t="s">
        <v>202</v>
      </c>
      <c r="D121" s="4">
        <v>75.900000000000006</v>
      </c>
      <c r="E121" s="4">
        <v>59.7</v>
      </c>
      <c r="F121" s="4"/>
      <c r="G121" s="5" t="s">
        <v>183</v>
      </c>
    </row>
    <row r="122" spans="1:7" ht="25.05" customHeight="1" x14ac:dyDescent="0.45">
      <c r="A122" s="4" t="s">
        <v>48</v>
      </c>
      <c r="B122" s="4" t="s">
        <v>170</v>
      </c>
      <c r="C122" s="4" t="s">
        <v>28</v>
      </c>
      <c r="D122" s="4">
        <v>82</v>
      </c>
      <c r="E122" s="4">
        <v>63.5</v>
      </c>
      <c r="F122" s="4"/>
      <c r="G122" s="5" t="s">
        <v>183</v>
      </c>
    </row>
    <row r="123" spans="1:7" ht="25.05" customHeight="1" x14ac:dyDescent="0.45">
      <c r="A123" s="4" t="s">
        <v>48</v>
      </c>
      <c r="B123" s="4" t="s">
        <v>170</v>
      </c>
      <c r="C123" s="4" t="s">
        <v>18</v>
      </c>
      <c r="D123" s="4">
        <v>87.6</v>
      </c>
      <c r="E123" s="4">
        <v>72.400000000000006</v>
      </c>
      <c r="F123" s="4"/>
      <c r="G123" s="5" t="s">
        <v>183</v>
      </c>
    </row>
    <row r="124" spans="1:7" ht="25.05" customHeight="1" x14ac:dyDescent="0.45">
      <c r="A124" s="4" t="s">
        <v>48</v>
      </c>
      <c r="B124" s="4" t="s">
        <v>170</v>
      </c>
      <c r="C124" s="4" t="s">
        <v>20</v>
      </c>
      <c r="D124" s="4">
        <v>95.5</v>
      </c>
      <c r="E124" s="4">
        <v>80</v>
      </c>
      <c r="F124" s="4"/>
      <c r="G124" s="5" t="s">
        <v>183</v>
      </c>
    </row>
    <row r="125" spans="1:7" ht="25.05" customHeight="1" x14ac:dyDescent="0.45">
      <c r="A125" s="4" t="s">
        <v>48</v>
      </c>
      <c r="B125" s="4" t="s">
        <v>170</v>
      </c>
      <c r="C125" s="4" t="s">
        <v>21</v>
      </c>
      <c r="D125" s="4">
        <v>105.4</v>
      </c>
      <c r="E125" s="4">
        <v>87.6</v>
      </c>
      <c r="F125" s="4"/>
      <c r="G125" s="5" t="s">
        <v>183</v>
      </c>
    </row>
    <row r="126" spans="1:7" ht="25.05" customHeight="1" x14ac:dyDescent="0.45">
      <c r="A126" s="4" t="s">
        <v>48</v>
      </c>
      <c r="B126" s="4" t="s">
        <v>170</v>
      </c>
      <c r="C126" s="4" t="s">
        <v>22</v>
      </c>
      <c r="D126" s="4">
        <v>111.8</v>
      </c>
      <c r="E126" s="4">
        <v>99.8</v>
      </c>
      <c r="F126" s="4"/>
      <c r="G126" s="5" t="s">
        <v>183</v>
      </c>
    </row>
    <row r="127" spans="1:7" ht="25.05" customHeight="1" x14ac:dyDescent="0.45">
      <c r="A127" s="4" t="s">
        <v>48</v>
      </c>
      <c r="B127" s="4" t="s">
        <v>170</v>
      </c>
      <c r="C127" s="4" t="s">
        <v>23</v>
      </c>
      <c r="D127" s="4">
        <v>119.6</v>
      </c>
      <c r="E127" s="4"/>
      <c r="F127" s="4"/>
      <c r="G127" s="5" t="s">
        <v>183</v>
      </c>
    </row>
    <row r="128" spans="1:7" ht="25.05" customHeight="1" x14ac:dyDescent="0.45">
      <c r="A128" s="4" t="s">
        <v>56</v>
      </c>
      <c r="B128" s="4" t="s">
        <v>170</v>
      </c>
      <c r="C128" s="4" t="s">
        <v>28</v>
      </c>
      <c r="D128" s="4">
        <v>76.2</v>
      </c>
      <c r="E128" s="4"/>
      <c r="F128" s="4">
        <v>57.1</v>
      </c>
      <c r="G128" s="5" t="s">
        <v>186</v>
      </c>
    </row>
    <row r="129" spans="1:7" ht="25.05" customHeight="1" x14ac:dyDescent="0.45">
      <c r="A129" s="4" t="s">
        <v>56</v>
      </c>
      <c r="B129" s="4" t="s">
        <v>170</v>
      </c>
      <c r="C129" s="4" t="s">
        <v>18</v>
      </c>
      <c r="D129" s="4">
        <v>81.3</v>
      </c>
      <c r="E129" s="4"/>
      <c r="F129" s="4">
        <v>58.4</v>
      </c>
      <c r="G129" s="5" t="s">
        <v>186</v>
      </c>
    </row>
    <row r="130" spans="1:7" ht="25.05" customHeight="1" x14ac:dyDescent="0.45">
      <c r="A130" s="4" t="s">
        <v>56</v>
      </c>
      <c r="B130" s="4" t="s">
        <v>170</v>
      </c>
      <c r="C130" s="4" t="s">
        <v>20</v>
      </c>
      <c r="D130" s="4">
        <v>86.4</v>
      </c>
      <c r="E130" s="4"/>
      <c r="F130" s="4">
        <v>59.7</v>
      </c>
      <c r="G130" s="5" t="s">
        <v>186</v>
      </c>
    </row>
    <row r="131" spans="1:7" ht="25.05" customHeight="1" x14ac:dyDescent="0.45">
      <c r="A131" s="4" t="s">
        <v>56</v>
      </c>
      <c r="B131" s="4" t="s">
        <v>170</v>
      </c>
      <c r="C131" s="4" t="s">
        <v>21</v>
      </c>
      <c r="D131" s="4">
        <v>91.4</v>
      </c>
      <c r="E131" s="4"/>
      <c r="F131" s="4">
        <v>61</v>
      </c>
      <c r="G131" s="5" t="s">
        <v>186</v>
      </c>
    </row>
    <row r="132" spans="1:7" ht="25.05" customHeight="1" x14ac:dyDescent="0.45">
      <c r="A132" s="4" t="s">
        <v>56</v>
      </c>
      <c r="B132" s="4" t="s">
        <v>170</v>
      </c>
      <c r="C132" s="4" t="s">
        <v>22</v>
      </c>
      <c r="D132" s="4">
        <v>96.5</v>
      </c>
      <c r="E132" s="4"/>
      <c r="F132" s="4">
        <v>62.2</v>
      </c>
      <c r="G132" s="5" t="s">
        <v>186</v>
      </c>
    </row>
    <row r="133" spans="1:7" ht="25.05" customHeight="1" x14ac:dyDescent="0.45">
      <c r="A133" s="4" t="s">
        <v>56</v>
      </c>
      <c r="B133" s="4" t="s">
        <v>170</v>
      </c>
      <c r="C133" s="4" t="s">
        <v>23</v>
      </c>
      <c r="D133" s="4">
        <v>109.2</v>
      </c>
      <c r="E133" s="4"/>
      <c r="F133" s="4">
        <v>63.5</v>
      </c>
      <c r="G133" s="5" t="s">
        <v>186</v>
      </c>
    </row>
    <row r="134" spans="1:7" ht="25.05" customHeight="1" x14ac:dyDescent="0.45">
      <c r="A134" s="4" t="s">
        <v>56</v>
      </c>
      <c r="B134" s="4" t="s">
        <v>170</v>
      </c>
      <c r="C134" s="4" t="s">
        <v>28</v>
      </c>
      <c r="D134" s="4">
        <v>71.099999999999994</v>
      </c>
      <c r="E134" s="4"/>
      <c r="F134" s="4">
        <v>58.4</v>
      </c>
      <c r="G134" s="5" t="s">
        <v>189</v>
      </c>
    </row>
    <row r="135" spans="1:7" ht="25.05" customHeight="1" x14ac:dyDescent="0.45">
      <c r="A135" s="4" t="s">
        <v>56</v>
      </c>
      <c r="B135" s="4" t="s">
        <v>170</v>
      </c>
      <c r="C135" s="4" t="s">
        <v>18</v>
      </c>
      <c r="D135" s="4">
        <v>76.2</v>
      </c>
      <c r="E135" s="4"/>
      <c r="F135" s="4">
        <v>59.7</v>
      </c>
      <c r="G135" s="5" t="s">
        <v>189</v>
      </c>
    </row>
    <row r="136" spans="1:7" ht="25.05" customHeight="1" x14ac:dyDescent="0.45">
      <c r="A136" s="4" t="s">
        <v>56</v>
      </c>
      <c r="B136" s="4" t="s">
        <v>170</v>
      </c>
      <c r="C136" s="4" t="s">
        <v>20</v>
      </c>
      <c r="D136" s="4">
        <v>81.3</v>
      </c>
      <c r="E136" s="4"/>
      <c r="F136" s="4">
        <v>61</v>
      </c>
      <c r="G136" s="5" t="s">
        <v>189</v>
      </c>
    </row>
    <row r="137" spans="1:7" ht="25.05" customHeight="1" x14ac:dyDescent="0.45">
      <c r="A137" s="4" t="s">
        <v>56</v>
      </c>
      <c r="B137" s="4" t="s">
        <v>170</v>
      </c>
      <c r="C137" s="4" t="s">
        <v>21</v>
      </c>
      <c r="D137" s="4">
        <v>86.4</v>
      </c>
      <c r="E137" s="4"/>
      <c r="F137" s="4">
        <v>62.2</v>
      </c>
      <c r="G137" s="5" t="s">
        <v>189</v>
      </c>
    </row>
    <row r="138" spans="1:7" ht="25.05" customHeight="1" x14ac:dyDescent="0.45">
      <c r="A138" s="4" t="s">
        <v>56</v>
      </c>
      <c r="B138" s="4" t="s">
        <v>170</v>
      </c>
      <c r="C138" s="4" t="s">
        <v>22</v>
      </c>
      <c r="D138" s="4">
        <v>91.4</v>
      </c>
      <c r="E138" s="4"/>
      <c r="F138" s="4">
        <v>63.5</v>
      </c>
      <c r="G138" s="5" t="s">
        <v>189</v>
      </c>
    </row>
    <row r="139" spans="1:7" ht="25.05" customHeight="1" x14ac:dyDescent="0.45">
      <c r="A139" s="4" t="s">
        <v>67</v>
      </c>
      <c r="B139" s="4" t="s">
        <v>170</v>
      </c>
      <c r="C139" s="4" t="s">
        <v>28</v>
      </c>
      <c r="D139" s="4">
        <v>101.6</v>
      </c>
      <c r="E139" s="4"/>
      <c r="F139" s="4">
        <v>54.6</v>
      </c>
      <c r="G139" s="5" t="s">
        <v>192</v>
      </c>
    </row>
    <row r="140" spans="1:7" ht="25.05" customHeight="1" x14ac:dyDescent="0.45">
      <c r="A140" s="4" t="s">
        <v>67</v>
      </c>
      <c r="B140" s="4" t="s">
        <v>170</v>
      </c>
      <c r="C140" s="4" t="s">
        <v>18</v>
      </c>
      <c r="D140" s="4">
        <v>106.7</v>
      </c>
      <c r="E140" s="4"/>
      <c r="F140" s="4">
        <v>55.9</v>
      </c>
      <c r="G140" s="5" t="s">
        <v>192</v>
      </c>
    </row>
    <row r="141" spans="1:7" ht="25.05" customHeight="1" x14ac:dyDescent="0.45">
      <c r="A141" s="4" t="s">
        <v>67</v>
      </c>
      <c r="B141" s="4" t="s">
        <v>170</v>
      </c>
      <c r="C141" s="4" t="s">
        <v>20</v>
      </c>
      <c r="D141" s="4">
        <v>111.8</v>
      </c>
      <c r="E141" s="4"/>
      <c r="F141" s="4">
        <v>57.1</v>
      </c>
      <c r="G141" s="5" t="s">
        <v>192</v>
      </c>
    </row>
    <row r="142" spans="1:7" ht="25.05" customHeight="1" x14ac:dyDescent="0.45">
      <c r="A142" s="4" t="s">
        <v>67</v>
      </c>
      <c r="B142" s="4" t="s">
        <v>170</v>
      </c>
      <c r="C142" s="4" t="s">
        <v>21</v>
      </c>
      <c r="D142" s="4">
        <v>116.8</v>
      </c>
      <c r="E142" s="4"/>
      <c r="F142" s="4">
        <v>58.4</v>
      </c>
      <c r="G142" s="5" t="s">
        <v>192</v>
      </c>
    </row>
    <row r="143" spans="1:7" ht="25.05" customHeight="1" x14ac:dyDescent="0.45">
      <c r="A143" s="4" t="s">
        <v>67</v>
      </c>
      <c r="B143" s="4" t="s">
        <v>170</v>
      </c>
      <c r="C143" s="4" t="s">
        <v>22</v>
      </c>
      <c r="D143" s="4">
        <v>121.9</v>
      </c>
      <c r="E143" s="4"/>
      <c r="F143" s="4">
        <v>59.7</v>
      </c>
      <c r="G143" s="5" t="s">
        <v>192</v>
      </c>
    </row>
    <row r="144" spans="1:7" ht="25.05" customHeight="1" x14ac:dyDescent="0.45">
      <c r="A144" s="4" t="s">
        <v>97</v>
      </c>
      <c r="B144" s="4" t="s">
        <v>170</v>
      </c>
      <c r="C144" s="4" t="s">
        <v>18</v>
      </c>
      <c r="D144" s="4">
        <v>86.4</v>
      </c>
      <c r="E144" s="4">
        <v>71.099999999999994</v>
      </c>
      <c r="F144" s="4">
        <v>61</v>
      </c>
      <c r="G144" s="5" t="s">
        <v>195</v>
      </c>
    </row>
    <row r="145" spans="1:7" ht="25.05" customHeight="1" x14ac:dyDescent="0.45">
      <c r="A145" s="4" t="s">
        <v>97</v>
      </c>
      <c r="B145" s="4" t="s">
        <v>170</v>
      </c>
      <c r="C145" s="4" t="s">
        <v>20</v>
      </c>
      <c r="D145" s="4">
        <v>91.4</v>
      </c>
      <c r="E145" s="4">
        <v>76.2</v>
      </c>
      <c r="F145" s="4">
        <v>62.2</v>
      </c>
      <c r="G145" s="5" t="s">
        <v>195</v>
      </c>
    </row>
    <row r="146" spans="1:7" ht="25.05" customHeight="1" x14ac:dyDescent="0.45">
      <c r="A146" s="4" t="s">
        <v>97</v>
      </c>
      <c r="B146" s="4" t="s">
        <v>170</v>
      </c>
      <c r="C146" s="4" t="s">
        <v>21</v>
      </c>
      <c r="D146" s="4">
        <v>96.5</v>
      </c>
      <c r="E146" s="4">
        <v>81.3</v>
      </c>
      <c r="F146" s="4">
        <v>63.5</v>
      </c>
      <c r="G146" s="5" t="s">
        <v>195</v>
      </c>
    </row>
    <row r="147" spans="1:7" ht="25.05" customHeight="1" x14ac:dyDescent="0.45">
      <c r="A147" s="4" t="s">
        <v>97</v>
      </c>
      <c r="B147" s="4" t="s">
        <v>170</v>
      </c>
      <c r="C147" s="4" t="s">
        <v>22</v>
      </c>
      <c r="D147" s="4">
        <v>101.6</v>
      </c>
      <c r="E147" s="4">
        <v>86.4</v>
      </c>
      <c r="F147" s="4">
        <v>64.8</v>
      </c>
      <c r="G147" s="5" t="s">
        <v>195</v>
      </c>
    </row>
    <row r="148" spans="1:7" ht="25.05" customHeight="1" x14ac:dyDescent="0.45">
      <c r="A148" s="4" t="s">
        <v>97</v>
      </c>
      <c r="B148" s="4" t="s">
        <v>170</v>
      </c>
      <c r="C148" s="4" t="s">
        <v>23</v>
      </c>
      <c r="D148" s="4">
        <v>106.7</v>
      </c>
      <c r="E148" s="4">
        <v>91.4</v>
      </c>
      <c r="F148" s="4">
        <v>66</v>
      </c>
      <c r="G148" s="5" t="s">
        <v>195</v>
      </c>
    </row>
    <row r="149" spans="1:7" ht="25.05" customHeight="1" x14ac:dyDescent="0.45">
      <c r="A149" s="4" t="s">
        <v>97</v>
      </c>
      <c r="B149" s="4" t="s">
        <v>170</v>
      </c>
      <c r="C149" s="4" t="s">
        <v>28</v>
      </c>
      <c r="D149" s="4">
        <v>86.4</v>
      </c>
      <c r="E149" s="4"/>
      <c r="F149" s="4">
        <v>61</v>
      </c>
      <c r="G149" s="5" t="s">
        <v>198</v>
      </c>
    </row>
    <row r="150" spans="1:7" ht="25.05" customHeight="1" x14ac:dyDescent="0.45">
      <c r="A150" s="4" t="s">
        <v>97</v>
      </c>
      <c r="B150" s="4" t="s">
        <v>170</v>
      </c>
      <c r="C150" s="4" t="s">
        <v>18</v>
      </c>
      <c r="D150" s="4">
        <v>91.4</v>
      </c>
      <c r="E150" s="4"/>
      <c r="F150" s="4">
        <v>61</v>
      </c>
      <c r="G150" s="5" t="s">
        <v>198</v>
      </c>
    </row>
    <row r="151" spans="1:7" ht="25.05" customHeight="1" x14ac:dyDescent="0.45">
      <c r="A151" s="4" t="s">
        <v>97</v>
      </c>
      <c r="B151" s="4" t="s">
        <v>170</v>
      </c>
      <c r="C151" s="4" t="s">
        <v>20</v>
      </c>
      <c r="D151" s="4">
        <v>96.5</v>
      </c>
      <c r="E151" s="4"/>
      <c r="F151" s="4">
        <v>61</v>
      </c>
      <c r="G151" s="5" t="s">
        <v>198</v>
      </c>
    </row>
    <row r="152" spans="1:7" ht="25.05" customHeight="1" x14ac:dyDescent="0.45">
      <c r="A152" s="4" t="s">
        <v>97</v>
      </c>
      <c r="B152" s="4" t="s">
        <v>170</v>
      </c>
      <c r="C152" s="4" t="s">
        <v>21</v>
      </c>
      <c r="D152" s="4">
        <v>101.6</v>
      </c>
      <c r="E152" s="4"/>
      <c r="F152" s="4">
        <v>61</v>
      </c>
      <c r="G152" s="5" t="s">
        <v>198</v>
      </c>
    </row>
    <row r="153" spans="1:7" ht="25.05" customHeight="1" x14ac:dyDescent="0.45">
      <c r="A153" s="4" t="s">
        <v>97</v>
      </c>
      <c r="B153" s="4" t="s">
        <v>170</v>
      </c>
      <c r="C153" s="4" t="s">
        <v>22</v>
      </c>
      <c r="D153" s="4">
        <v>106.7</v>
      </c>
      <c r="E153" s="4"/>
      <c r="F153" s="4">
        <v>61</v>
      </c>
      <c r="G153" s="5" t="s">
        <v>198</v>
      </c>
    </row>
    <row r="154" spans="1:7" ht="25.05" customHeight="1" x14ac:dyDescent="0.45">
      <c r="A154" s="4" t="s">
        <v>97</v>
      </c>
      <c r="B154" s="4" t="s">
        <v>170</v>
      </c>
      <c r="C154" s="4" t="s">
        <v>23</v>
      </c>
      <c r="D154" s="4">
        <v>111.8</v>
      </c>
      <c r="E154" s="4"/>
      <c r="F154" s="4">
        <v>61</v>
      </c>
      <c r="G154" s="5" t="s">
        <v>198</v>
      </c>
    </row>
    <row r="155" spans="1:7" ht="25.05" customHeight="1" x14ac:dyDescent="0.45">
      <c r="A155" s="4" t="s">
        <v>48</v>
      </c>
      <c r="B155" s="4" t="s">
        <v>170</v>
      </c>
      <c r="C155" s="4" t="s">
        <v>28</v>
      </c>
      <c r="D155" s="4">
        <v>80</v>
      </c>
      <c r="E155" s="4">
        <v>63.5</v>
      </c>
      <c r="F155" s="4"/>
      <c r="G155" s="5" t="s">
        <v>200</v>
      </c>
    </row>
    <row r="156" spans="1:7" ht="25.05" customHeight="1" x14ac:dyDescent="0.45">
      <c r="A156" s="4" t="s">
        <v>48</v>
      </c>
      <c r="B156" s="4" t="s">
        <v>170</v>
      </c>
      <c r="C156" s="4" t="s">
        <v>18</v>
      </c>
      <c r="D156" s="4">
        <v>85.9</v>
      </c>
      <c r="E156" s="4">
        <v>72.400000000000006</v>
      </c>
      <c r="F156" s="4"/>
      <c r="G156" s="5" t="s">
        <v>200</v>
      </c>
    </row>
    <row r="157" spans="1:7" ht="25.05" customHeight="1" x14ac:dyDescent="0.45">
      <c r="A157" s="4" t="s">
        <v>48</v>
      </c>
      <c r="B157" s="4" t="s">
        <v>170</v>
      </c>
      <c r="C157" s="4" t="s">
        <v>20</v>
      </c>
      <c r="D157" s="4">
        <v>93.5</v>
      </c>
      <c r="E157" s="4">
        <v>80</v>
      </c>
      <c r="F157" s="4"/>
      <c r="G157" s="5" t="s">
        <v>200</v>
      </c>
    </row>
    <row r="158" spans="1:7" ht="25.05" customHeight="1" x14ac:dyDescent="0.45">
      <c r="A158" s="4" t="s">
        <v>48</v>
      </c>
      <c r="B158" s="4" t="s">
        <v>170</v>
      </c>
      <c r="C158" s="4" t="s">
        <v>21</v>
      </c>
      <c r="D158" s="4">
        <v>101.9</v>
      </c>
      <c r="E158" s="4">
        <v>87.6</v>
      </c>
      <c r="F158" s="4"/>
      <c r="G158" s="5" t="s">
        <v>200</v>
      </c>
    </row>
    <row r="159" spans="1:7" ht="25.05" customHeight="1" x14ac:dyDescent="0.45">
      <c r="A159" s="4" t="s">
        <v>48</v>
      </c>
      <c r="B159" s="4" t="s">
        <v>170</v>
      </c>
      <c r="C159" s="4" t="s">
        <v>22</v>
      </c>
      <c r="D159" s="4">
        <v>112.8</v>
      </c>
      <c r="E159" s="4">
        <v>99.8</v>
      </c>
      <c r="F159" s="4"/>
      <c r="G159" s="5" t="s">
        <v>200</v>
      </c>
    </row>
  </sheetData>
  <hyperlinks>
    <hyperlink ref="G16" r:id="rId1" xr:uid="{99A90A57-6C0E-4728-BC99-1765B148A7F7}"/>
    <hyperlink ref="G17" r:id="rId2" xr:uid="{4EDB109E-D8D2-40C1-8AE6-BA61480A8512}"/>
    <hyperlink ref="G18" r:id="rId3" xr:uid="{693CE954-F603-49E0-AA10-319FCF43A61F}"/>
    <hyperlink ref="G19" r:id="rId4" xr:uid="{859D1BEB-FA02-4821-B4EC-0A502D947C37}"/>
    <hyperlink ref="G20" r:id="rId5" xr:uid="{A98DC9CF-0A61-4F3F-AFFA-A2BCE8EB408D}"/>
    <hyperlink ref="G21" r:id="rId6" xr:uid="{D21E3E58-B659-4D50-9F87-3988BBC05C70}"/>
    <hyperlink ref="G22" r:id="rId7" xr:uid="{7E4285AE-DF49-4295-9A0B-4ACF30222B63}"/>
    <hyperlink ref="G23" r:id="rId8" xr:uid="{D1319D03-29E6-4465-9397-B3029B82B2DB}"/>
    <hyperlink ref="G24" r:id="rId9" xr:uid="{FB7BB460-02FA-451C-A3B2-ACA1977F6A73}"/>
    <hyperlink ref="G25" r:id="rId10" xr:uid="{6E4A9F88-1F6F-436E-AB50-462D81AEF026}"/>
    <hyperlink ref="G26" r:id="rId11" xr:uid="{502998BA-569F-49AA-8EB7-06349CC4660E}"/>
    <hyperlink ref="G27" r:id="rId12" xr:uid="{219A101B-5264-4183-889A-E64D50491B55}"/>
    <hyperlink ref="G28" r:id="rId13" xr:uid="{676D5705-53EA-4CDC-B4E5-CC6E5ACB8A97}"/>
    <hyperlink ref="G29" r:id="rId14" xr:uid="{ED0E4BEC-E341-4448-B21A-E3C1CC3D1984}"/>
    <hyperlink ref="G42" r:id="rId15" xr:uid="{25623694-D126-428C-B627-04C510FA313A}"/>
    <hyperlink ref="G43" r:id="rId16" xr:uid="{6E7DBA35-72D6-485A-A5D9-FAE5AE84D95A}"/>
    <hyperlink ref="G44" r:id="rId17" xr:uid="{2072E0D7-6147-4DCF-A241-70CD35FA29E2}"/>
    <hyperlink ref="G45" r:id="rId18" xr:uid="{7AEC71A9-2D88-4BD2-BB31-9566E092763C}"/>
    <hyperlink ref="G46" r:id="rId19" xr:uid="{AAB8347E-5B40-4995-B34F-8C10603085AD}"/>
    <hyperlink ref="G47" r:id="rId20" xr:uid="{1CF5C9D2-A5AC-479E-A5CA-8DB8037394A8}"/>
    <hyperlink ref="G48" r:id="rId21" xr:uid="{CA01BF1B-3AB5-41DE-AA08-0E3C78A18C90}"/>
    <hyperlink ref="G49" r:id="rId22" xr:uid="{A0FE099A-C09E-480A-97B6-8E4DB6D525A5}"/>
    <hyperlink ref="G6" r:id="rId23" xr:uid="{E11F1D9B-D248-47C6-9637-470A6A7D1D53}"/>
    <hyperlink ref="G7" r:id="rId24" xr:uid="{222A9926-F7A0-4BFF-9511-56E4146E339E}"/>
    <hyperlink ref="G8" r:id="rId25" xr:uid="{B782602F-5332-4524-94CB-8E7F1DDEC7F8}"/>
    <hyperlink ref="G9" r:id="rId26" xr:uid="{88DDB204-FD94-4BCB-80FC-C07F3B1FE949}"/>
    <hyperlink ref="G2" r:id="rId27" xr:uid="{10E87019-A0A7-4163-A76E-9DA7DC733936}"/>
    <hyperlink ref="G3" r:id="rId28" xr:uid="{ADA83D52-5F83-42F7-8F7E-F4FFC9B85D97}"/>
    <hyperlink ref="G4" r:id="rId29" xr:uid="{78E2AFED-6A45-41B3-AD65-271AA5ED1C28}"/>
    <hyperlink ref="G5" r:id="rId30" xr:uid="{83206C54-DF4F-49F8-ADFE-D8E7F0A15445}"/>
    <hyperlink ref="G41" r:id="rId31" xr:uid="{CBDA7F65-5C76-48B9-B658-A6FA4E4AB97E}"/>
    <hyperlink ref="G40" r:id="rId32" xr:uid="{F7C1A1A8-0383-4C51-9AFD-1C94E83B9BF8}"/>
    <hyperlink ref="G39" r:id="rId33" xr:uid="{EBC4C52C-E79C-4FDF-945C-68F9E87FC546}"/>
    <hyperlink ref="G38" r:id="rId34" xr:uid="{0E845A0F-E7C3-4473-9929-648579C40E19}"/>
    <hyperlink ref="G37" r:id="rId35" xr:uid="{661089E7-C2D7-48ED-8137-F8E25A08C7E3}"/>
    <hyperlink ref="G30" r:id="rId36" xr:uid="{03A210A8-76A0-4528-A40B-DF2F5C35E7D6}"/>
    <hyperlink ref="G31" r:id="rId37" xr:uid="{3AEDFCE6-4130-4A1B-BFD6-B0CF96046D2F}"/>
    <hyperlink ref="G32" r:id="rId38" xr:uid="{DE4C4D6F-1AFA-4F6D-A530-0C0EB0EC0E8F}"/>
    <hyperlink ref="G33" r:id="rId39" xr:uid="{67A48E12-E3B0-4AF9-A632-2BDE2B9A3E5B}"/>
    <hyperlink ref="G34" r:id="rId40" xr:uid="{10A0215F-3EBC-4096-897C-7ECE0CAE35DC}"/>
    <hyperlink ref="G35" r:id="rId41" xr:uid="{DA598446-4D04-4BC9-B93E-AD014CC48E18}"/>
    <hyperlink ref="G36" r:id="rId42" xr:uid="{7BF2628A-7E6D-4094-88B0-1C415B270C0A}"/>
    <hyperlink ref="G10" r:id="rId43" xr:uid="{BC6C840A-1016-4F78-804D-E26B083FF9FD}"/>
    <hyperlink ref="G11" r:id="rId44" xr:uid="{9A1A8AB1-4214-4A02-8914-D4F66D25E427}"/>
    <hyperlink ref="G12" r:id="rId45" xr:uid="{B46592B2-495B-41D0-B52E-085B43D8CB39}"/>
    <hyperlink ref="G13" r:id="rId46" xr:uid="{4E919AA9-8317-4E02-BE4D-CD616E9D98F4}"/>
    <hyperlink ref="G14" r:id="rId47" xr:uid="{F1F9EA62-BCF5-42E3-83B2-30796B9E5AF4}"/>
    <hyperlink ref="G15" r:id="rId48" xr:uid="{72287DD6-6CB4-425D-A0B4-D49156CD3EDF}"/>
    <hyperlink ref="G50" r:id="rId49" xr:uid="{D5891638-1FBA-4EF9-8AB6-0DFA802FC295}"/>
    <hyperlink ref="G51" r:id="rId50" xr:uid="{3411AE41-FF9B-45AF-B74A-E815B2705701}"/>
    <hyperlink ref="G52" r:id="rId51" xr:uid="{49CFD8DD-4449-4964-91C3-49EE87C2ADC5}"/>
    <hyperlink ref="G53" r:id="rId52" xr:uid="{D977E6FA-4761-488C-8FB3-7C5C3DD14F91}"/>
    <hyperlink ref="G54" r:id="rId53" xr:uid="{569A954F-3614-4FF2-87BD-BAA21BC7C81F}"/>
    <hyperlink ref="G55" r:id="rId54" xr:uid="{F13909CB-A752-4B83-AB82-EA5E9243ACD9}"/>
    <hyperlink ref="G56" r:id="rId55" xr:uid="{2ECFB1CA-9329-41DD-A61A-999BCB308D1F}"/>
    <hyperlink ref="G57" r:id="rId56" xr:uid="{88BAB61A-442F-438C-A60E-A095374F5DC7}"/>
    <hyperlink ref="G58" r:id="rId57" xr:uid="{C0A9B56A-5AF2-43FD-8BE6-48EC347BDDAB}"/>
    <hyperlink ref="G59" r:id="rId58" xr:uid="{726E427E-B72C-46B9-85CB-724E7F70FDFF}"/>
    <hyperlink ref="G60" r:id="rId59" xr:uid="{D890FE17-7B2F-4657-AE33-AC7A2C2A6D5C}"/>
    <hyperlink ref="G61" r:id="rId60" xr:uid="{E601DA9D-A4BC-4D6A-A2CD-544546A4CA93}"/>
    <hyperlink ref="G62" r:id="rId61" xr:uid="{01D70084-AC2A-49DC-B8F7-CFEC741F851B}"/>
    <hyperlink ref="G63" r:id="rId62" xr:uid="{721F7381-8D02-48D4-8DBE-B128DBA72AA4}"/>
    <hyperlink ref="G64" r:id="rId63" xr:uid="{25E79694-D0B4-49DF-B502-97E679BD6D41}"/>
    <hyperlink ref="G65" r:id="rId64" xr:uid="{C5439EBE-0119-4855-BC91-D2D00BBAD418}"/>
    <hyperlink ref="G66" r:id="rId65" xr:uid="{4C24810D-20CD-4E9E-9B03-290B39227908}"/>
    <hyperlink ref="G67" r:id="rId66" xr:uid="{BD349ACB-205B-4422-9BEF-29FFC50820D0}"/>
    <hyperlink ref="G68" r:id="rId67" xr:uid="{C1A062F3-0E2A-44D5-B416-E8A4519F7D87}"/>
    <hyperlink ref="G69" r:id="rId68" xr:uid="{D35D609A-6567-40FB-862B-0AA409EAF3C0}"/>
    <hyperlink ref="G70" r:id="rId69" xr:uid="{FEC7C476-8667-4042-9F8B-7525EF385AB8}"/>
    <hyperlink ref="G71" r:id="rId70" xr:uid="{3B0B1F64-64B0-48B9-92CB-F479D9F24E06}"/>
    <hyperlink ref="G72" r:id="rId71" xr:uid="{95453487-5DC8-4A8A-8C68-8F9F908B6B0D}"/>
    <hyperlink ref="G73" r:id="rId72" xr:uid="{FE072942-A07E-4C65-986B-77BBC81AD8AA}"/>
    <hyperlink ref="G74" r:id="rId73" xr:uid="{8F00F11B-C4BD-4D4A-A547-7E116EF9B296}"/>
    <hyperlink ref="G75" r:id="rId74" xr:uid="{111DB4EB-16E3-403E-8737-AB51B2019648}"/>
    <hyperlink ref="G76" r:id="rId75" xr:uid="{4447FD22-5D1A-42E7-8852-6946E49CF763}"/>
    <hyperlink ref="G77" r:id="rId76" xr:uid="{FD29624B-740C-41EE-8A95-5B57ED932E3B}"/>
    <hyperlink ref="G78" r:id="rId77" xr:uid="{941621AC-86F6-413D-9A10-B965CA65FBC7}"/>
    <hyperlink ref="G79" r:id="rId78" xr:uid="{B238F2E4-E935-42C8-A711-DCF0737647DA}"/>
    <hyperlink ref="G80" r:id="rId79" xr:uid="{651DE961-21D8-455F-9C77-E1D9791A7E5B}"/>
    <hyperlink ref="G81" r:id="rId80" xr:uid="{9EC607AB-6EB4-429F-A818-4698E74CC79F}"/>
    <hyperlink ref="G82" r:id="rId81" xr:uid="{8D6983F0-4191-4D6F-AB87-BF91688970D9}"/>
    <hyperlink ref="G83" r:id="rId82" xr:uid="{B3883584-8C38-4814-AD2E-9D055D7343D6}"/>
    <hyperlink ref="G84" r:id="rId83" xr:uid="{1E20B8C5-A33E-4B68-8A0D-155B3269B252}"/>
    <hyperlink ref="G85" r:id="rId84" xr:uid="{B9C70EB9-AE27-4C41-B9A5-66F8007153CA}"/>
    <hyperlink ref="G86" r:id="rId85" xr:uid="{7D389221-8E02-4046-9E92-7F5A8BF5788B}"/>
    <hyperlink ref="G87" r:id="rId86" xr:uid="{D3F07F77-5423-4455-AAD4-1C445CCB3C1E}"/>
    <hyperlink ref="G88" r:id="rId87" xr:uid="{DD528E97-5998-4F1A-9D35-95A27C6E94FF}"/>
    <hyperlink ref="G89" r:id="rId88" xr:uid="{61949B90-4C9E-40B7-8CF4-163ACA471E04}"/>
    <hyperlink ref="G90" r:id="rId89" xr:uid="{080EBF5B-DCBA-47B8-80B2-1A0F1BCEFAA8}"/>
    <hyperlink ref="G91" r:id="rId90" xr:uid="{FFE440BE-ED33-46C5-B543-9AD1C75FB9CB}"/>
    <hyperlink ref="G92" r:id="rId91" xr:uid="{C3EFCD9D-5A03-42A1-915E-0397831F531E}"/>
    <hyperlink ref="G93" r:id="rId92" xr:uid="{072BDB30-F08A-48EE-8D91-3C80C3BC9F05}"/>
    <hyperlink ref="G94" r:id="rId93" xr:uid="{E8191DF6-4603-49B4-BCD9-E18587505173}"/>
    <hyperlink ref="G95" r:id="rId94" xr:uid="{CAE3DB01-F2B1-42B5-95F3-250F009ED8EF}"/>
    <hyperlink ref="G96" r:id="rId95" xr:uid="{34D559AC-A06E-445C-8589-BE66735010FD}"/>
    <hyperlink ref="G97" r:id="rId96" xr:uid="{9AA96D00-AAEF-43F2-A475-96562CF73EDA}"/>
    <hyperlink ref="G98" r:id="rId97" xr:uid="{61638B72-D9C4-4D1C-BE36-600D4E1F8E12}"/>
    <hyperlink ref="G99" r:id="rId98" xr:uid="{9A38BF75-C2D5-4F23-9594-5A49F2C51BD1}"/>
    <hyperlink ref="G100" r:id="rId99" xr:uid="{B53DEEAF-CFFD-4A62-96CA-92A59B116384}"/>
    <hyperlink ref="G101" r:id="rId100" xr:uid="{B05FBF54-10CC-4D12-A7ED-2B1676ED485E}"/>
    <hyperlink ref="G102" r:id="rId101" xr:uid="{1C6C3BA3-EFA3-4782-8B1F-30D42E10D5E3}"/>
    <hyperlink ref="G103" r:id="rId102" xr:uid="{74CD8E0C-4131-43CC-B840-BF5E5EF3033B}"/>
    <hyperlink ref="G108" r:id="rId103" xr:uid="{C2B48629-4078-4194-BDE7-9FD23D66CFE3}"/>
    <hyperlink ref="G114" r:id="rId104" xr:uid="{3F41005C-D774-41F5-A635-E24641481AB3}"/>
    <hyperlink ref="G121" r:id="rId105" xr:uid="{462E1C78-93A3-442D-80CF-63F4F8B9C3D6}"/>
    <hyperlink ref="G128" r:id="rId106" xr:uid="{1DF7ACEB-6C14-4DEA-99C8-23F043545886}"/>
    <hyperlink ref="G134" r:id="rId107" xr:uid="{2C234A1F-481F-42F4-885E-8BEDB8C268D4}"/>
    <hyperlink ref="G139" r:id="rId108" xr:uid="{B07E1943-587F-44DF-B316-EF8184D61A17}"/>
    <hyperlink ref="G149" r:id="rId109" xr:uid="{ED8811C4-4926-43F5-8BCF-D53FC51D3ACE}"/>
    <hyperlink ref="G155" r:id="rId110" xr:uid="{3A08D4F6-39D1-4E97-9518-7E97CFF15370}"/>
    <hyperlink ref="G104" r:id="rId111" xr:uid="{44BBA3A1-49DF-4D46-BA9A-0A1E5822ABB0}"/>
    <hyperlink ref="G105" r:id="rId112" xr:uid="{53D002F1-EF64-4E8D-924F-BE81115762C5}"/>
    <hyperlink ref="G106" r:id="rId113" xr:uid="{80A363E5-B93D-40D3-A885-7C903652B08A}"/>
    <hyperlink ref="G107" r:id="rId114" xr:uid="{2163729F-A9AA-40F6-90EF-BA28C4CE8412}"/>
    <hyperlink ref="G109" r:id="rId115" xr:uid="{59C3C098-E12C-4E62-B388-1A067EF00CCB}"/>
    <hyperlink ref="G110" r:id="rId116" xr:uid="{89612621-7612-4F4F-8D73-23EBE80885E0}"/>
    <hyperlink ref="G111" r:id="rId117" xr:uid="{76903E44-67F3-4602-A9EA-EDE43FD58FD9}"/>
    <hyperlink ref="G112" r:id="rId118" xr:uid="{99C59D72-1B23-4067-BFF0-30CD6144A637}"/>
    <hyperlink ref="G113" r:id="rId119" xr:uid="{1365EDD2-61EA-44F0-979C-AE34285BE351}"/>
    <hyperlink ref="G115" r:id="rId120" xr:uid="{8346057C-7A1A-4E44-8F8C-F3DA97D92FCC}"/>
    <hyperlink ref="G116" r:id="rId121" xr:uid="{1D87E01E-5C2E-4086-9795-B453CE351436}"/>
    <hyperlink ref="G117" r:id="rId122" xr:uid="{112563F0-5347-458C-9660-8AFD8FA34D80}"/>
    <hyperlink ref="G118" r:id="rId123" xr:uid="{47E66712-1A84-4D47-80C8-667062813FAC}"/>
    <hyperlink ref="G119" r:id="rId124" xr:uid="{44FCD661-2C25-40E2-AE8F-4D7DF5CBB4BA}"/>
    <hyperlink ref="G120" r:id="rId125" xr:uid="{8A0CAEE9-B3F0-437D-B919-B4593FF2BCC1}"/>
    <hyperlink ref="G122" r:id="rId126" xr:uid="{BF6C394E-26E8-4F69-A16F-3C9E9DFCFDE7}"/>
    <hyperlink ref="G123" r:id="rId127" xr:uid="{A4CBEF2C-5CB6-4873-A0B5-F2B5EF96A3D1}"/>
    <hyperlink ref="G124" r:id="rId128" xr:uid="{44A3002A-0F53-4B19-A10A-CDC643F1F2F7}"/>
    <hyperlink ref="G125" r:id="rId129" xr:uid="{89945812-658C-4FCC-A028-DEDD3B94C5C9}"/>
    <hyperlink ref="G126" r:id="rId130" xr:uid="{20D10307-B1CE-4836-84DF-B48DD751B893}"/>
    <hyperlink ref="G127" r:id="rId131" xr:uid="{8113D9E1-2A35-44DF-964A-2BADCC08B310}"/>
    <hyperlink ref="G129:G133" r:id="rId132" display="https://www.myntra.com/tops/roadster/roadster-women-rust-red-self-design-top/4317332/buy" xr:uid="{9039FF56-A746-4B69-8149-84B14217E75D}"/>
    <hyperlink ref="G135:G138" r:id="rId133" display="https://www.myntra.com/tops/roadster/roadster-women-black-ribbed-top/11401674/buy" xr:uid="{0A4E2AF2-7996-47EE-A4D1-3D3E2D2213EC}"/>
    <hyperlink ref="G144" r:id="rId134" xr:uid="{E1A8C23A-D8C7-4FB3-9532-869712422A42}"/>
    <hyperlink ref="G140:G143" r:id="rId135" display="https://www.myntra.com/tops/mast+%26+harbour/mast--harbour-black-striped-extended-sleeves-boxy-top/24383738/buy" xr:uid="{8FA63FE1-4CF7-4AD8-99A6-89E7AB45CCD5}"/>
    <hyperlink ref="G145:G148" r:id="rId136" display="https://www.myntra.com/tops/here%26now/herenow-printed-mandarin-collar-roll-up-sleeves-bohemian-longline-top/21486076/buy" xr:uid="{E5516501-6DB2-4746-93F0-008EA342A8BC}"/>
    <hyperlink ref="G150:G154" r:id="rId137" display="https://www.myntra.com/tops/here%26now/herenow-candy-store-multi-toned-striped-top/8922917/buy" xr:uid="{E6AF551C-2F1F-48AD-B918-0EB817C05470}"/>
    <hyperlink ref="G156:G159" r:id="rId138" display="https://www.myntra.com/tops/h%26m/hm-cropped-vest-top/21678936/buy" xr:uid="{EEBF945C-BB4D-4014-9C70-866AC54E730D}"/>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0"/>
  <sheetViews>
    <sheetView topLeftCell="A81" zoomScale="85" zoomScaleNormal="70" workbookViewId="0">
      <selection activeCell="C94" sqref="C94"/>
    </sheetView>
  </sheetViews>
  <sheetFormatPr defaultRowHeight="25.05" customHeight="1" x14ac:dyDescent="0.45"/>
  <cols>
    <col min="1" max="1" width="15" customWidth="1"/>
    <col min="2" max="2" width="40" customWidth="1"/>
    <col min="3" max="3" width="60" customWidth="1"/>
    <col min="4" max="4" width="10" customWidth="1"/>
    <col min="5" max="5" width="15" customWidth="1"/>
    <col min="6" max="6" width="20" customWidth="1"/>
  </cols>
  <sheetData>
    <row r="1" spans="1:6" ht="25.05" customHeight="1" x14ac:dyDescent="0.45">
      <c r="A1" s="3" t="s">
        <v>0</v>
      </c>
      <c r="B1" s="3" t="s">
        <v>1</v>
      </c>
      <c r="C1" s="3" t="s">
        <v>12</v>
      </c>
      <c r="D1" s="3" t="s">
        <v>13</v>
      </c>
      <c r="E1" s="3" t="s">
        <v>14</v>
      </c>
      <c r="F1" s="3" t="s">
        <v>15</v>
      </c>
    </row>
    <row r="2" spans="1:6" ht="25.05" customHeight="1" x14ac:dyDescent="0.45">
      <c r="A2" s="4" t="s">
        <v>81</v>
      </c>
      <c r="B2" s="4" t="s">
        <v>89</v>
      </c>
      <c r="C2" s="4" t="s">
        <v>91</v>
      </c>
      <c r="D2" s="4">
        <v>4</v>
      </c>
      <c r="E2" s="4" t="s">
        <v>26</v>
      </c>
      <c r="F2" s="4" t="s">
        <v>27</v>
      </c>
    </row>
    <row r="3" spans="1:6" ht="25.05" customHeight="1" x14ac:dyDescent="0.45">
      <c r="A3" s="4" t="s">
        <v>81</v>
      </c>
      <c r="B3" s="4" t="s">
        <v>89</v>
      </c>
      <c r="C3" s="4" t="s">
        <v>92</v>
      </c>
      <c r="D3" s="4">
        <v>5</v>
      </c>
      <c r="E3" s="4" t="s">
        <v>24</v>
      </c>
      <c r="F3" s="4" t="s">
        <v>27</v>
      </c>
    </row>
    <row r="4" spans="1:6" ht="25.05" customHeight="1" x14ac:dyDescent="0.45">
      <c r="A4" s="4" t="s">
        <v>81</v>
      </c>
      <c r="B4" s="4" t="s">
        <v>89</v>
      </c>
      <c r="C4" s="4" t="s">
        <v>93</v>
      </c>
      <c r="D4" s="4">
        <v>5</v>
      </c>
      <c r="E4" s="4" t="s">
        <v>24</v>
      </c>
      <c r="F4" s="4" t="s">
        <v>54</v>
      </c>
    </row>
    <row r="5" spans="1:6" ht="25.05" customHeight="1" x14ac:dyDescent="0.45">
      <c r="A5" s="4" t="s">
        <v>81</v>
      </c>
      <c r="B5" s="4" t="s">
        <v>82</v>
      </c>
      <c r="C5" s="4" t="s">
        <v>85</v>
      </c>
      <c r="D5" s="4">
        <v>5</v>
      </c>
      <c r="E5" s="4" t="s">
        <v>24</v>
      </c>
      <c r="F5" s="4" t="s">
        <v>27</v>
      </c>
    </row>
    <row r="6" spans="1:6" ht="25.05" customHeight="1" x14ac:dyDescent="0.45">
      <c r="A6" s="4" t="s">
        <v>81</v>
      </c>
      <c r="B6" s="4" t="s">
        <v>82</v>
      </c>
      <c r="C6" s="4" t="s">
        <v>86</v>
      </c>
      <c r="D6" s="4">
        <v>4</v>
      </c>
      <c r="E6" s="4" t="s">
        <v>24</v>
      </c>
      <c r="F6" s="4" t="s">
        <v>27</v>
      </c>
    </row>
    <row r="7" spans="1:6" ht="25.05" customHeight="1" x14ac:dyDescent="0.45">
      <c r="A7" s="4" t="s">
        <v>81</v>
      </c>
      <c r="B7" s="4" t="s">
        <v>82</v>
      </c>
      <c r="C7" s="4" t="s">
        <v>87</v>
      </c>
      <c r="D7" s="4">
        <v>3</v>
      </c>
      <c r="E7" s="4" t="s">
        <v>26</v>
      </c>
      <c r="F7" s="4" t="s">
        <v>29</v>
      </c>
    </row>
    <row r="8" spans="1:6" ht="25.05" customHeight="1" x14ac:dyDescent="0.45">
      <c r="A8" s="4" t="s">
        <v>30</v>
      </c>
      <c r="B8" s="4" t="s">
        <v>31</v>
      </c>
      <c r="C8" s="4" t="s">
        <v>35</v>
      </c>
      <c r="D8" s="4">
        <v>5</v>
      </c>
      <c r="E8" s="4" t="s">
        <v>24</v>
      </c>
      <c r="F8" s="4" t="s">
        <v>27</v>
      </c>
    </row>
    <row r="9" spans="1:6" ht="25.05" customHeight="1" x14ac:dyDescent="0.45">
      <c r="A9" s="4" t="s">
        <v>30</v>
      </c>
      <c r="B9" s="4" t="s">
        <v>31</v>
      </c>
      <c r="C9" s="4" t="s">
        <v>36</v>
      </c>
      <c r="D9" s="4">
        <v>5</v>
      </c>
      <c r="E9" s="4" t="s">
        <v>26</v>
      </c>
      <c r="F9" s="4" t="s">
        <v>27</v>
      </c>
    </row>
    <row r="10" spans="1:6" ht="25.05" customHeight="1" x14ac:dyDescent="0.45">
      <c r="A10" s="4" t="s">
        <v>30</v>
      </c>
      <c r="B10" s="4" t="s">
        <v>31</v>
      </c>
      <c r="C10" s="4" t="s">
        <v>37</v>
      </c>
      <c r="D10" s="4">
        <v>4</v>
      </c>
      <c r="E10" s="4" t="s">
        <v>24</v>
      </c>
      <c r="F10" s="4" t="s">
        <v>29</v>
      </c>
    </row>
    <row r="11" spans="1:6" ht="25.05" customHeight="1" x14ac:dyDescent="0.45">
      <c r="A11" s="4" t="s">
        <v>38</v>
      </c>
      <c r="B11" s="4" t="s">
        <v>39</v>
      </c>
      <c r="C11" s="4" t="s">
        <v>45</v>
      </c>
      <c r="D11" s="4">
        <v>5</v>
      </c>
      <c r="E11" s="4" t="s">
        <v>24</v>
      </c>
      <c r="F11" s="4" t="s">
        <v>27</v>
      </c>
    </row>
    <row r="12" spans="1:6" ht="25.05" customHeight="1" x14ac:dyDescent="0.45">
      <c r="A12" s="4" t="s">
        <v>38</v>
      </c>
      <c r="B12" s="4" t="s">
        <v>39</v>
      </c>
      <c r="C12" s="4" t="s">
        <v>46</v>
      </c>
      <c r="D12" s="4">
        <v>5</v>
      </c>
      <c r="E12" s="4" t="s">
        <v>24</v>
      </c>
      <c r="F12" s="4" t="s">
        <v>27</v>
      </c>
    </row>
    <row r="13" spans="1:6" ht="25.05" customHeight="1" x14ac:dyDescent="0.45">
      <c r="A13" s="4" t="s">
        <v>38</v>
      </c>
      <c r="B13" s="4" t="s">
        <v>39</v>
      </c>
      <c r="C13" s="4" t="s">
        <v>47</v>
      </c>
      <c r="D13" s="4">
        <v>1</v>
      </c>
      <c r="E13" s="4" t="s">
        <v>24</v>
      </c>
      <c r="F13" s="4" t="s">
        <v>27</v>
      </c>
    </row>
    <row r="14" spans="1:6" ht="25.05" customHeight="1" x14ac:dyDescent="0.45">
      <c r="A14" s="4" t="s">
        <v>48</v>
      </c>
      <c r="B14" s="4" t="s">
        <v>49</v>
      </c>
      <c r="C14" s="4" t="s">
        <v>52</v>
      </c>
      <c r="D14" s="4">
        <v>5</v>
      </c>
      <c r="E14" s="4" t="s">
        <v>24</v>
      </c>
      <c r="F14" s="4" t="s">
        <v>27</v>
      </c>
    </row>
    <row r="15" spans="1:6" ht="25.05" customHeight="1" x14ac:dyDescent="0.45">
      <c r="A15" s="4" t="s">
        <v>48</v>
      </c>
      <c r="B15" s="4" t="s">
        <v>49</v>
      </c>
      <c r="C15" s="4" t="s">
        <v>53</v>
      </c>
      <c r="D15" s="4">
        <v>5</v>
      </c>
      <c r="E15" s="4" t="s">
        <v>24</v>
      </c>
      <c r="F15" s="4" t="s">
        <v>54</v>
      </c>
    </row>
    <row r="16" spans="1:6" ht="25.05" customHeight="1" x14ac:dyDescent="0.45">
      <c r="A16" s="4" t="s">
        <v>48</v>
      </c>
      <c r="B16" s="4" t="s">
        <v>49</v>
      </c>
      <c r="C16" s="4" t="s">
        <v>55</v>
      </c>
      <c r="D16" s="4">
        <v>5</v>
      </c>
      <c r="E16" s="4" t="s">
        <v>24</v>
      </c>
      <c r="F16" s="4" t="s">
        <v>27</v>
      </c>
    </row>
    <row r="17" spans="1:6" ht="25.05" customHeight="1" x14ac:dyDescent="0.45">
      <c r="A17" s="4" t="s">
        <v>56</v>
      </c>
      <c r="B17" s="4" t="s">
        <v>57</v>
      </c>
      <c r="C17" s="4" t="s">
        <v>61</v>
      </c>
      <c r="D17" s="4">
        <v>5</v>
      </c>
      <c r="E17" s="4" t="s">
        <v>26</v>
      </c>
      <c r="F17" s="4" t="s">
        <v>27</v>
      </c>
    </row>
    <row r="18" spans="1:6" ht="25.05" customHeight="1" x14ac:dyDescent="0.45">
      <c r="A18" s="4" t="s">
        <v>56</v>
      </c>
      <c r="B18" s="4" t="s">
        <v>57</v>
      </c>
      <c r="C18" s="4" t="s">
        <v>62</v>
      </c>
      <c r="D18" s="4">
        <v>4</v>
      </c>
      <c r="E18" s="4" t="s">
        <v>26</v>
      </c>
      <c r="F18" s="4" t="s">
        <v>25</v>
      </c>
    </row>
    <row r="19" spans="1:6" ht="25.05" customHeight="1" x14ac:dyDescent="0.45">
      <c r="A19" s="4" t="s">
        <v>56</v>
      </c>
      <c r="B19" s="4" t="s">
        <v>57</v>
      </c>
      <c r="C19" s="4" t="s">
        <v>63</v>
      </c>
      <c r="D19" s="4">
        <v>5</v>
      </c>
      <c r="E19" s="4" t="s">
        <v>24</v>
      </c>
      <c r="F19" s="4" t="s">
        <v>27</v>
      </c>
    </row>
    <row r="20" spans="1:6" ht="25.05" customHeight="1" x14ac:dyDescent="0.45">
      <c r="A20" s="4" t="s">
        <v>56</v>
      </c>
      <c r="B20" s="4" t="s">
        <v>57</v>
      </c>
      <c r="C20" s="4" t="s">
        <v>64</v>
      </c>
      <c r="D20" s="4">
        <v>5</v>
      </c>
      <c r="E20" s="4" t="s">
        <v>26</v>
      </c>
      <c r="F20" s="4" t="s">
        <v>25</v>
      </c>
    </row>
    <row r="21" spans="1:6" ht="25.05" customHeight="1" x14ac:dyDescent="0.45">
      <c r="A21" s="4" t="s">
        <v>56</v>
      </c>
      <c r="B21" s="4" t="s">
        <v>57</v>
      </c>
      <c r="C21" s="4" t="s">
        <v>65</v>
      </c>
      <c r="D21" s="4">
        <v>3</v>
      </c>
      <c r="E21" s="4" t="s">
        <v>24</v>
      </c>
      <c r="F21" s="4" t="s">
        <v>29</v>
      </c>
    </row>
    <row r="22" spans="1:6" ht="25.05" customHeight="1" x14ac:dyDescent="0.45">
      <c r="A22" s="4" t="s">
        <v>56</v>
      </c>
      <c r="B22" s="4" t="s">
        <v>57</v>
      </c>
      <c r="C22" s="4" t="s">
        <v>66</v>
      </c>
      <c r="D22" s="4">
        <v>5</v>
      </c>
      <c r="E22" s="4" t="s">
        <v>26</v>
      </c>
      <c r="F22" s="4" t="s">
        <v>27</v>
      </c>
    </row>
    <row r="23" spans="1:6" ht="25.05" customHeight="1" x14ac:dyDescent="0.45">
      <c r="A23" s="4" t="s">
        <v>67</v>
      </c>
      <c r="B23" s="4" t="s">
        <v>68</v>
      </c>
      <c r="C23" s="4" t="s">
        <v>71</v>
      </c>
      <c r="D23" s="4">
        <v>5</v>
      </c>
      <c r="E23" s="4" t="s">
        <v>24</v>
      </c>
      <c r="F23" s="4" t="s">
        <v>27</v>
      </c>
    </row>
    <row r="24" spans="1:6" ht="25.05" customHeight="1" x14ac:dyDescent="0.45">
      <c r="A24" s="4" t="s">
        <v>67</v>
      </c>
      <c r="B24" s="4" t="s">
        <v>68</v>
      </c>
      <c r="C24" s="4" t="s">
        <v>72</v>
      </c>
      <c r="D24" s="4">
        <v>5</v>
      </c>
      <c r="E24" s="4" t="s">
        <v>24</v>
      </c>
      <c r="F24" s="4" t="s">
        <v>27</v>
      </c>
    </row>
    <row r="25" spans="1:6" ht="25.05" customHeight="1" x14ac:dyDescent="0.45">
      <c r="A25" s="4" t="s">
        <v>67</v>
      </c>
      <c r="B25" s="4" t="s">
        <v>68</v>
      </c>
      <c r="C25" s="4" t="s">
        <v>73</v>
      </c>
      <c r="D25" s="4">
        <v>3</v>
      </c>
      <c r="E25" s="4" t="s">
        <v>26</v>
      </c>
      <c r="F25" s="4" t="s">
        <v>29</v>
      </c>
    </row>
    <row r="26" spans="1:6" ht="25.05" customHeight="1" x14ac:dyDescent="0.45">
      <c r="A26" s="4" t="s">
        <v>74</v>
      </c>
      <c r="B26" s="4" t="s">
        <v>75</v>
      </c>
      <c r="C26" s="4" t="s">
        <v>78</v>
      </c>
      <c r="D26" s="4">
        <v>4</v>
      </c>
      <c r="E26" s="4" t="s">
        <v>24</v>
      </c>
      <c r="F26" s="4" t="s">
        <v>27</v>
      </c>
    </row>
    <row r="27" spans="1:6" ht="25.05" customHeight="1" x14ac:dyDescent="0.45">
      <c r="A27" s="4" t="s">
        <v>74</v>
      </c>
      <c r="B27" s="4" t="s">
        <v>75</v>
      </c>
      <c r="C27" s="4" t="s">
        <v>79</v>
      </c>
      <c r="D27" s="4">
        <v>5</v>
      </c>
      <c r="E27" s="4" t="s">
        <v>24</v>
      </c>
      <c r="F27" s="4" t="s">
        <v>27</v>
      </c>
    </row>
    <row r="28" spans="1:6" ht="25.05" customHeight="1" x14ac:dyDescent="0.45">
      <c r="A28" s="4" t="s">
        <v>74</v>
      </c>
      <c r="B28" s="4" t="s">
        <v>75</v>
      </c>
      <c r="C28" s="4" t="s">
        <v>80</v>
      </c>
      <c r="D28" s="4">
        <v>5</v>
      </c>
      <c r="E28" s="4" t="s">
        <v>24</v>
      </c>
      <c r="F28" s="4" t="s">
        <v>54</v>
      </c>
    </row>
    <row r="29" spans="1:6" ht="25.05" customHeight="1" x14ac:dyDescent="0.45">
      <c r="A29" s="4" t="s">
        <v>97</v>
      </c>
      <c r="B29" s="4" t="s">
        <v>98</v>
      </c>
      <c r="C29" s="4" t="s">
        <v>102</v>
      </c>
      <c r="D29" s="4">
        <v>5</v>
      </c>
      <c r="E29" s="4" t="s">
        <v>24</v>
      </c>
      <c r="F29" s="4" t="s">
        <v>27</v>
      </c>
    </row>
    <row r="30" spans="1:6" ht="25.05" customHeight="1" x14ac:dyDescent="0.45">
      <c r="A30" s="4" t="s">
        <v>97</v>
      </c>
      <c r="B30" s="4" t="s">
        <v>98</v>
      </c>
      <c r="C30" s="4" t="s">
        <v>103</v>
      </c>
      <c r="D30" s="4">
        <v>5</v>
      </c>
      <c r="E30" s="4" t="s">
        <v>24</v>
      </c>
      <c r="F30" s="4" t="s">
        <v>54</v>
      </c>
    </row>
    <row r="31" spans="1:6" ht="25.05" customHeight="1" x14ac:dyDescent="0.45">
      <c r="A31" s="4" t="s">
        <v>97</v>
      </c>
      <c r="B31" s="4" t="s">
        <v>98</v>
      </c>
      <c r="C31" s="4" t="s">
        <v>104</v>
      </c>
      <c r="D31" s="4">
        <v>5</v>
      </c>
      <c r="E31" s="4" t="s">
        <v>24</v>
      </c>
      <c r="F31" s="4" t="s">
        <v>54</v>
      </c>
    </row>
    <row r="32" spans="1:6" ht="25.05" customHeight="1" x14ac:dyDescent="0.45">
      <c r="A32" s="4" t="s">
        <v>81</v>
      </c>
      <c r="B32" s="4" t="s">
        <v>105</v>
      </c>
      <c r="C32" s="4" t="s">
        <v>139</v>
      </c>
      <c r="D32" s="4">
        <v>5</v>
      </c>
      <c r="E32" s="4" t="s">
        <v>26</v>
      </c>
      <c r="F32" s="4" t="s">
        <v>27</v>
      </c>
    </row>
    <row r="33" spans="1:6" ht="25.05" customHeight="1" x14ac:dyDescent="0.45">
      <c r="A33" s="4" t="s">
        <v>81</v>
      </c>
      <c r="B33" s="4" t="s">
        <v>105</v>
      </c>
      <c r="C33" s="4" t="s">
        <v>140</v>
      </c>
      <c r="D33" s="4">
        <v>5</v>
      </c>
      <c r="E33" s="4" t="s">
        <v>24</v>
      </c>
      <c r="F33" s="4" t="s">
        <v>27</v>
      </c>
    </row>
    <row r="34" spans="1:6" ht="25.05" customHeight="1" x14ac:dyDescent="0.45">
      <c r="A34" s="4" t="s">
        <v>81</v>
      </c>
      <c r="B34" s="4" t="s">
        <v>105</v>
      </c>
      <c r="C34" s="4" t="s">
        <v>141</v>
      </c>
      <c r="D34" s="4">
        <v>5</v>
      </c>
      <c r="E34" s="4" t="s">
        <v>26</v>
      </c>
      <c r="F34" s="4" t="s">
        <v>27</v>
      </c>
    </row>
    <row r="35" spans="1:6" ht="25.05" customHeight="1" x14ac:dyDescent="0.45">
      <c r="A35" s="4" t="s">
        <v>81</v>
      </c>
      <c r="B35" s="4" t="s">
        <v>109</v>
      </c>
      <c r="C35" s="4" t="s">
        <v>142</v>
      </c>
      <c r="D35" s="4">
        <v>5</v>
      </c>
      <c r="E35" s="4" t="s">
        <v>24</v>
      </c>
      <c r="F35" s="4" t="s">
        <v>27</v>
      </c>
    </row>
    <row r="36" spans="1:6" ht="25.05" customHeight="1" x14ac:dyDescent="0.45">
      <c r="A36" s="4" t="s">
        <v>81</v>
      </c>
      <c r="B36" s="4" t="s">
        <v>109</v>
      </c>
      <c r="C36" s="4" t="s">
        <v>143</v>
      </c>
      <c r="D36" s="4">
        <v>4</v>
      </c>
      <c r="E36" s="4" t="s">
        <v>24</v>
      </c>
      <c r="F36" s="4" t="s">
        <v>27</v>
      </c>
    </row>
    <row r="37" spans="1:6" ht="25.05" customHeight="1" x14ac:dyDescent="0.45">
      <c r="A37" s="4" t="s">
        <v>81</v>
      </c>
      <c r="B37" s="4" t="s">
        <v>109</v>
      </c>
      <c r="C37" s="4" t="s">
        <v>144</v>
      </c>
      <c r="D37" s="4">
        <v>4</v>
      </c>
      <c r="E37" s="4" t="s">
        <v>24</v>
      </c>
      <c r="F37" s="4" t="s">
        <v>27</v>
      </c>
    </row>
    <row r="38" spans="1:6" ht="25.05" customHeight="1" x14ac:dyDescent="0.45">
      <c r="A38" s="4" t="s">
        <v>113</v>
      </c>
      <c r="B38" s="4" t="s">
        <v>114</v>
      </c>
      <c r="C38" s="4" t="s">
        <v>145</v>
      </c>
      <c r="D38" s="4">
        <v>5</v>
      </c>
      <c r="E38" s="4" t="s">
        <v>24</v>
      </c>
      <c r="F38" s="4" t="s">
        <v>27</v>
      </c>
    </row>
    <row r="39" spans="1:6" ht="25.05" customHeight="1" x14ac:dyDescent="0.45">
      <c r="A39" s="4" t="s">
        <v>113</v>
      </c>
      <c r="B39" s="4" t="s">
        <v>114</v>
      </c>
      <c r="C39" s="4" t="s">
        <v>146</v>
      </c>
      <c r="D39" s="4">
        <v>5</v>
      </c>
      <c r="E39" s="4" t="s">
        <v>24</v>
      </c>
      <c r="F39" s="4" t="s">
        <v>27</v>
      </c>
    </row>
    <row r="40" spans="1:6" ht="25.05" customHeight="1" x14ac:dyDescent="0.45">
      <c r="A40" s="4" t="s">
        <v>113</v>
      </c>
      <c r="B40" s="4" t="s">
        <v>114</v>
      </c>
      <c r="C40" s="4" t="s">
        <v>147</v>
      </c>
      <c r="D40" s="4">
        <v>5</v>
      </c>
      <c r="E40" s="4" t="s">
        <v>24</v>
      </c>
      <c r="F40" s="4" t="s">
        <v>27</v>
      </c>
    </row>
    <row r="41" spans="1:6" ht="25.05" customHeight="1" x14ac:dyDescent="0.45">
      <c r="A41" s="4" t="s">
        <v>38</v>
      </c>
      <c r="B41" s="4" t="s">
        <v>117</v>
      </c>
      <c r="C41" s="4" t="s">
        <v>148</v>
      </c>
      <c r="D41" s="4">
        <v>5</v>
      </c>
      <c r="E41" s="4" t="s">
        <v>24</v>
      </c>
      <c r="F41" s="4" t="s">
        <v>27</v>
      </c>
    </row>
    <row r="42" spans="1:6" ht="25.05" customHeight="1" x14ac:dyDescent="0.45">
      <c r="A42" s="4" t="s">
        <v>38</v>
      </c>
      <c r="B42" s="4" t="s">
        <v>117</v>
      </c>
      <c r="C42" s="4" t="s">
        <v>149</v>
      </c>
      <c r="D42" s="4">
        <v>3</v>
      </c>
      <c r="E42" s="4" t="s">
        <v>26</v>
      </c>
      <c r="F42" s="4" t="s">
        <v>29</v>
      </c>
    </row>
    <row r="43" spans="1:6" ht="25.05" customHeight="1" x14ac:dyDescent="0.45">
      <c r="A43" s="4" t="s">
        <v>38</v>
      </c>
      <c r="B43" s="4" t="s">
        <v>117</v>
      </c>
      <c r="C43" s="4" t="s">
        <v>150</v>
      </c>
      <c r="D43" s="4">
        <v>4</v>
      </c>
      <c r="E43" s="4" t="s">
        <v>24</v>
      </c>
      <c r="F43" s="4" t="s">
        <v>27</v>
      </c>
    </row>
    <row r="44" spans="1:6" ht="25.05" customHeight="1" x14ac:dyDescent="0.45">
      <c r="A44" s="4" t="s">
        <v>48</v>
      </c>
      <c r="B44" s="4" t="s">
        <v>120</v>
      </c>
      <c r="C44" s="4" t="s">
        <v>151</v>
      </c>
      <c r="D44" s="4">
        <v>4</v>
      </c>
      <c r="E44" s="4" t="s">
        <v>24</v>
      </c>
      <c r="F44" s="4" t="s">
        <v>29</v>
      </c>
    </row>
    <row r="45" spans="1:6" ht="25.05" customHeight="1" x14ac:dyDescent="0.45">
      <c r="A45" s="4" t="s">
        <v>48</v>
      </c>
      <c r="B45" s="4" t="s">
        <v>120</v>
      </c>
      <c r="C45" s="4" t="s">
        <v>152</v>
      </c>
      <c r="D45" s="4">
        <v>5</v>
      </c>
      <c r="E45" s="4" t="s">
        <v>24</v>
      </c>
      <c r="F45" s="4" t="s">
        <v>27</v>
      </c>
    </row>
    <row r="46" spans="1:6" ht="25.05" customHeight="1" x14ac:dyDescent="0.45">
      <c r="A46" s="4" t="s">
        <v>48</v>
      </c>
      <c r="B46" s="4" t="s">
        <v>120</v>
      </c>
      <c r="C46" s="4" t="s">
        <v>153</v>
      </c>
      <c r="D46" s="4">
        <v>5</v>
      </c>
      <c r="E46" s="4" t="s">
        <v>24</v>
      </c>
      <c r="F46" s="4" t="s">
        <v>27</v>
      </c>
    </row>
    <row r="47" spans="1:6" ht="25.05" customHeight="1" x14ac:dyDescent="0.45">
      <c r="A47" s="4" t="s">
        <v>56</v>
      </c>
      <c r="B47" s="4" t="s">
        <v>123</v>
      </c>
      <c r="C47" s="4" t="s">
        <v>154</v>
      </c>
      <c r="D47" s="4">
        <v>5</v>
      </c>
      <c r="E47" s="4" t="s">
        <v>24</v>
      </c>
      <c r="F47" s="4" t="s">
        <v>27</v>
      </c>
    </row>
    <row r="48" spans="1:6" ht="25.05" customHeight="1" x14ac:dyDescent="0.45">
      <c r="A48" s="4" t="s">
        <v>56</v>
      </c>
      <c r="B48" s="4" t="s">
        <v>123</v>
      </c>
      <c r="C48" s="4" t="s">
        <v>155</v>
      </c>
      <c r="D48" s="4">
        <v>5</v>
      </c>
      <c r="E48" s="4" t="s">
        <v>24</v>
      </c>
      <c r="F48" s="4" t="s">
        <v>27</v>
      </c>
    </row>
    <row r="49" spans="1:6" ht="25.05" customHeight="1" x14ac:dyDescent="0.45">
      <c r="A49" s="4" t="s">
        <v>56</v>
      </c>
      <c r="B49" s="4" t="s">
        <v>123</v>
      </c>
      <c r="C49" s="4" t="s">
        <v>156</v>
      </c>
      <c r="D49" s="4">
        <v>4</v>
      </c>
      <c r="E49" s="4" t="s">
        <v>26</v>
      </c>
      <c r="F49" s="4" t="s">
        <v>25</v>
      </c>
    </row>
    <row r="50" spans="1:6" ht="25.05" customHeight="1" x14ac:dyDescent="0.45">
      <c r="A50" s="4" t="s">
        <v>56</v>
      </c>
      <c r="B50" s="4" t="s">
        <v>126</v>
      </c>
      <c r="C50" s="4" t="s">
        <v>157</v>
      </c>
      <c r="D50" s="4">
        <v>5</v>
      </c>
      <c r="E50" s="4" t="s">
        <v>24</v>
      </c>
      <c r="F50" s="4" t="s">
        <v>27</v>
      </c>
    </row>
    <row r="51" spans="1:6" ht="25.05" customHeight="1" x14ac:dyDescent="0.45">
      <c r="A51" s="4" t="s">
        <v>56</v>
      </c>
      <c r="B51" s="4" t="s">
        <v>126</v>
      </c>
      <c r="C51" s="4" t="s">
        <v>158</v>
      </c>
      <c r="D51" s="4">
        <v>5</v>
      </c>
      <c r="E51" s="4" t="s">
        <v>24</v>
      </c>
      <c r="F51" s="4" t="s">
        <v>27</v>
      </c>
    </row>
    <row r="52" spans="1:6" ht="25.05" customHeight="1" x14ac:dyDescent="0.45">
      <c r="A52" s="4" t="s">
        <v>56</v>
      </c>
      <c r="B52" s="4" t="s">
        <v>126</v>
      </c>
      <c r="C52" s="4" t="s">
        <v>159</v>
      </c>
      <c r="D52" s="4">
        <v>3</v>
      </c>
      <c r="E52" s="4" t="s">
        <v>26</v>
      </c>
      <c r="F52" s="4" t="s">
        <v>25</v>
      </c>
    </row>
    <row r="53" spans="1:6" ht="25.05" customHeight="1" x14ac:dyDescent="0.45">
      <c r="A53" s="4" t="s">
        <v>67</v>
      </c>
      <c r="B53" s="4" t="s">
        <v>129</v>
      </c>
      <c r="C53" s="4" t="s">
        <v>160</v>
      </c>
      <c r="D53" s="4">
        <v>5</v>
      </c>
      <c r="E53" s="4" t="s">
        <v>24</v>
      </c>
      <c r="F53" s="4" t="s">
        <v>27</v>
      </c>
    </row>
    <row r="54" spans="1:6" ht="25.05" customHeight="1" x14ac:dyDescent="0.45">
      <c r="A54" s="4" t="s">
        <v>67</v>
      </c>
      <c r="B54" s="4" t="s">
        <v>129</v>
      </c>
      <c r="C54" s="4" t="s">
        <v>161</v>
      </c>
      <c r="D54" s="4">
        <v>5</v>
      </c>
      <c r="E54" s="4" t="s">
        <v>24</v>
      </c>
      <c r="F54" s="4" t="s">
        <v>27</v>
      </c>
    </row>
    <row r="55" spans="1:6" ht="25.05" customHeight="1" x14ac:dyDescent="0.45">
      <c r="A55" s="4" t="s">
        <v>67</v>
      </c>
      <c r="B55" s="4" t="s">
        <v>129</v>
      </c>
      <c r="C55" s="4" t="s">
        <v>162</v>
      </c>
      <c r="D55" s="4">
        <v>5</v>
      </c>
      <c r="E55" s="4" t="s">
        <v>24</v>
      </c>
      <c r="F55" s="4" t="s">
        <v>27</v>
      </c>
    </row>
    <row r="56" spans="1:6" ht="25.05" customHeight="1" x14ac:dyDescent="0.45">
      <c r="A56" s="4" t="s">
        <v>74</v>
      </c>
      <c r="B56" s="4" t="s">
        <v>132</v>
      </c>
      <c r="C56" s="4" t="s">
        <v>163</v>
      </c>
      <c r="D56" s="4">
        <v>5</v>
      </c>
      <c r="E56" s="4" t="s">
        <v>24</v>
      </c>
      <c r="F56" s="4" t="s">
        <v>27</v>
      </c>
    </row>
    <row r="57" spans="1:6" ht="25.05" customHeight="1" x14ac:dyDescent="0.45">
      <c r="A57" s="4" t="s">
        <v>74</v>
      </c>
      <c r="B57" s="4" t="s">
        <v>132</v>
      </c>
      <c r="C57" s="4" t="s">
        <v>164</v>
      </c>
      <c r="D57" s="4">
        <v>5</v>
      </c>
      <c r="E57" s="4" t="s">
        <v>24</v>
      </c>
      <c r="F57" s="4" t="s">
        <v>27</v>
      </c>
    </row>
    <row r="58" spans="1:6" ht="25.05" customHeight="1" x14ac:dyDescent="0.45">
      <c r="A58" s="4" t="s">
        <v>74</v>
      </c>
      <c r="B58" s="4" t="s">
        <v>132</v>
      </c>
      <c r="C58" s="4" t="s">
        <v>165</v>
      </c>
      <c r="D58" s="4">
        <v>3</v>
      </c>
      <c r="E58" s="4" t="s">
        <v>26</v>
      </c>
      <c r="F58" s="4" t="s">
        <v>29</v>
      </c>
    </row>
    <row r="59" spans="1:6" ht="25.05" customHeight="1" x14ac:dyDescent="0.45">
      <c r="A59" s="4" t="s">
        <v>97</v>
      </c>
      <c r="B59" s="4" t="s">
        <v>135</v>
      </c>
      <c r="C59" s="4" t="s">
        <v>166</v>
      </c>
      <c r="D59" s="4">
        <v>5</v>
      </c>
      <c r="E59" s="4" t="s">
        <v>26</v>
      </c>
      <c r="F59" s="4" t="s">
        <v>25</v>
      </c>
    </row>
    <row r="60" spans="1:6" ht="25.05" customHeight="1" x14ac:dyDescent="0.45">
      <c r="A60" s="4" t="s">
        <v>97</v>
      </c>
      <c r="B60" s="4" t="s">
        <v>135</v>
      </c>
      <c r="C60" s="4" t="s">
        <v>167</v>
      </c>
      <c r="D60" s="4">
        <v>5</v>
      </c>
      <c r="E60" s="4" t="s">
        <v>24</v>
      </c>
      <c r="F60" s="4" t="s">
        <v>27</v>
      </c>
    </row>
    <row r="61" spans="1:6" ht="25.05" customHeight="1" x14ac:dyDescent="0.45">
      <c r="A61" s="4" t="s">
        <v>97</v>
      </c>
      <c r="B61" s="4" t="s">
        <v>135</v>
      </c>
      <c r="C61" s="4" t="s">
        <v>168</v>
      </c>
      <c r="D61" s="4">
        <v>5</v>
      </c>
      <c r="E61" s="4" t="s">
        <v>24</v>
      </c>
      <c r="F61" s="4" t="s">
        <v>27</v>
      </c>
    </row>
    <row r="62" spans="1:6" ht="25.05" customHeight="1" x14ac:dyDescent="0.45">
      <c r="A62" s="4" t="s">
        <v>81</v>
      </c>
      <c r="B62" s="4" t="s">
        <v>169</v>
      </c>
      <c r="C62" s="4" t="s">
        <v>203</v>
      </c>
      <c r="D62" s="4">
        <v>5</v>
      </c>
      <c r="E62" s="4" t="s">
        <v>24</v>
      </c>
      <c r="F62" s="4" t="s">
        <v>27</v>
      </c>
    </row>
    <row r="63" spans="1:6" ht="25.05" customHeight="1" x14ac:dyDescent="0.45">
      <c r="A63" s="4" t="s">
        <v>81</v>
      </c>
      <c r="B63" s="4" t="s">
        <v>169</v>
      </c>
      <c r="C63" s="4" t="s">
        <v>204</v>
      </c>
      <c r="D63" s="4">
        <v>5</v>
      </c>
      <c r="E63" s="4" t="s">
        <v>24</v>
      </c>
      <c r="F63" s="4" t="s">
        <v>27</v>
      </c>
    </row>
    <row r="64" spans="1:6" ht="25.05" customHeight="1" x14ac:dyDescent="0.45">
      <c r="A64" s="4" t="s">
        <v>81</v>
      </c>
      <c r="B64" s="4" t="s">
        <v>169</v>
      </c>
      <c r="C64" s="4" t="s">
        <v>205</v>
      </c>
      <c r="D64" s="4">
        <v>4</v>
      </c>
      <c r="E64" s="4" t="s">
        <v>24</v>
      </c>
      <c r="F64" s="4" t="s">
        <v>27</v>
      </c>
    </row>
    <row r="65" spans="1:6" ht="25.05" customHeight="1" x14ac:dyDescent="0.45">
      <c r="A65" s="4" t="s">
        <v>30</v>
      </c>
      <c r="B65" s="4" t="s">
        <v>174</v>
      </c>
      <c r="C65" s="4" t="s">
        <v>206</v>
      </c>
      <c r="D65" s="4">
        <v>5</v>
      </c>
      <c r="E65" s="4" t="s">
        <v>24</v>
      </c>
      <c r="F65" s="4" t="s">
        <v>27</v>
      </c>
    </row>
    <row r="66" spans="1:6" ht="25.05" customHeight="1" x14ac:dyDescent="0.45">
      <c r="A66" s="4" t="s">
        <v>30</v>
      </c>
      <c r="B66" s="4" t="s">
        <v>174</v>
      </c>
      <c r="C66" s="4" t="s">
        <v>207</v>
      </c>
      <c r="D66" s="4">
        <v>5</v>
      </c>
      <c r="E66" s="4" t="s">
        <v>24</v>
      </c>
      <c r="F66" s="4" t="s">
        <v>27</v>
      </c>
    </row>
    <row r="67" spans="1:6" ht="25.05" customHeight="1" x14ac:dyDescent="0.45">
      <c r="A67" s="4" t="s">
        <v>30</v>
      </c>
      <c r="B67" s="4" t="s">
        <v>174</v>
      </c>
      <c r="C67" s="4" t="s">
        <v>208</v>
      </c>
      <c r="D67" s="4">
        <v>3</v>
      </c>
      <c r="E67" s="4" t="s">
        <v>24</v>
      </c>
      <c r="F67" s="4" t="s">
        <v>27</v>
      </c>
    </row>
    <row r="68" spans="1:6" ht="25.05" customHeight="1" x14ac:dyDescent="0.45">
      <c r="A68" s="4" t="s">
        <v>38</v>
      </c>
      <c r="B68" s="4" t="s">
        <v>177</v>
      </c>
      <c r="C68" s="4" t="s">
        <v>209</v>
      </c>
      <c r="D68" s="4">
        <v>4</v>
      </c>
      <c r="E68" s="4" t="s">
        <v>24</v>
      </c>
      <c r="F68" s="4" t="s">
        <v>27</v>
      </c>
    </row>
    <row r="69" spans="1:6" ht="25.05" customHeight="1" x14ac:dyDescent="0.45">
      <c r="A69" s="4" t="s">
        <v>38</v>
      </c>
      <c r="B69" s="4" t="s">
        <v>177</v>
      </c>
      <c r="C69" s="4" t="s">
        <v>210</v>
      </c>
      <c r="D69" s="4">
        <v>5</v>
      </c>
      <c r="E69" s="4" t="s">
        <v>24</v>
      </c>
      <c r="F69" s="4" t="s">
        <v>27</v>
      </c>
    </row>
    <row r="70" spans="1:6" ht="25.05" customHeight="1" x14ac:dyDescent="0.45">
      <c r="A70" s="4" t="s">
        <v>38</v>
      </c>
      <c r="B70" s="4" t="s">
        <v>177</v>
      </c>
      <c r="C70" s="4" t="s">
        <v>211</v>
      </c>
      <c r="D70" s="4">
        <v>5</v>
      </c>
      <c r="E70" s="4" t="s">
        <v>24</v>
      </c>
      <c r="F70" s="4" t="s">
        <v>27</v>
      </c>
    </row>
    <row r="71" spans="1:6" ht="25.05" customHeight="1" x14ac:dyDescent="0.45">
      <c r="A71" s="4" t="s">
        <v>48</v>
      </c>
      <c r="B71" s="4" t="s">
        <v>182</v>
      </c>
      <c r="C71" s="4" t="s">
        <v>212</v>
      </c>
      <c r="D71" s="4">
        <v>5</v>
      </c>
      <c r="E71" s="4" t="s">
        <v>26</v>
      </c>
      <c r="F71" s="4" t="s">
        <v>25</v>
      </c>
    </row>
    <row r="72" spans="1:6" ht="25.05" customHeight="1" x14ac:dyDescent="0.45">
      <c r="A72" s="4" t="s">
        <v>48</v>
      </c>
      <c r="B72" s="4" t="s">
        <v>182</v>
      </c>
      <c r="C72" s="4" t="s">
        <v>213</v>
      </c>
      <c r="D72" s="4">
        <v>5</v>
      </c>
      <c r="E72" s="4" t="s">
        <v>24</v>
      </c>
      <c r="F72" s="4" t="s">
        <v>27</v>
      </c>
    </row>
    <row r="73" spans="1:6" ht="25.05" customHeight="1" x14ac:dyDescent="0.45">
      <c r="A73" s="4" t="s">
        <v>48</v>
      </c>
      <c r="B73" s="4" t="s">
        <v>182</v>
      </c>
      <c r="C73" s="4" t="s">
        <v>214</v>
      </c>
      <c r="D73" s="4">
        <v>4</v>
      </c>
      <c r="E73" s="4" t="s">
        <v>26</v>
      </c>
      <c r="F73" s="4" t="s">
        <v>25</v>
      </c>
    </row>
    <row r="74" spans="1:6" ht="25.05" customHeight="1" x14ac:dyDescent="0.45">
      <c r="A74" s="4" t="s">
        <v>56</v>
      </c>
      <c r="B74" s="4" t="s">
        <v>185</v>
      </c>
      <c r="C74" s="4" t="s">
        <v>215</v>
      </c>
      <c r="D74" s="4">
        <v>5</v>
      </c>
      <c r="E74" s="4" t="s">
        <v>24</v>
      </c>
      <c r="F74" s="4" t="s">
        <v>27</v>
      </c>
    </row>
    <row r="75" spans="1:6" ht="25.05" customHeight="1" x14ac:dyDescent="0.45">
      <c r="A75" s="4" t="s">
        <v>56</v>
      </c>
      <c r="B75" s="4" t="s">
        <v>185</v>
      </c>
      <c r="C75" s="4" t="s">
        <v>216</v>
      </c>
      <c r="D75" s="4">
        <v>5</v>
      </c>
      <c r="E75" s="4" t="s">
        <v>24</v>
      </c>
      <c r="F75" s="4" t="s">
        <v>27</v>
      </c>
    </row>
    <row r="76" spans="1:6" ht="25.05" customHeight="1" x14ac:dyDescent="0.45">
      <c r="A76" s="4" t="s">
        <v>56</v>
      </c>
      <c r="B76" s="4" t="s">
        <v>185</v>
      </c>
      <c r="C76" s="4" t="s">
        <v>217</v>
      </c>
      <c r="D76" s="4">
        <v>3</v>
      </c>
      <c r="E76" s="4" t="s">
        <v>26</v>
      </c>
      <c r="F76" s="4" t="s">
        <v>29</v>
      </c>
    </row>
    <row r="77" spans="1:6" ht="25.05" customHeight="1" x14ac:dyDescent="0.45">
      <c r="A77" s="4" t="s">
        <v>56</v>
      </c>
      <c r="B77" s="4" t="s">
        <v>188</v>
      </c>
      <c r="C77" s="4" t="s">
        <v>218</v>
      </c>
      <c r="D77" s="4">
        <v>2</v>
      </c>
      <c r="E77" s="4" t="s">
        <v>26</v>
      </c>
      <c r="F77" s="4" t="s">
        <v>29</v>
      </c>
    </row>
    <row r="78" spans="1:6" ht="25.05" customHeight="1" x14ac:dyDescent="0.45">
      <c r="A78" s="4" t="s">
        <v>56</v>
      </c>
      <c r="B78" s="4" t="s">
        <v>188</v>
      </c>
      <c r="C78" s="4" t="s">
        <v>219</v>
      </c>
      <c r="D78" s="4">
        <v>5</v>
      </c>
      <c r="E78" s="4" t="s">
        <v>24</v>
      </c>
      <c r="F78" s="4" t="s">
        <v>27</v>
      </c>
    </row>
    <row r="79" spans="1:6" ht="25.05" customHeight="1" x14ac:dyDescent="0.45">
      <c r="A79" s="4" t="s">
        <v>56</v>
      </c>
      <c r="B79" s="4" t="s">
        <v>188</v>
      </c>
      <c r="C79" s="4" t="s">
        <v>220</v>
      </c>
      <c r="D79" s="4">
        <v>5</v>
      </c>
      <c r="E79" s="4" t="s">
        <v>24</v>
      </c>
      <c r="F79" s="4" t="s">
        <v>27</v>
      </c>
    </row>
    <row r="80" spans="1:6" ht="25.05" customHeight="1" x14ac:dyDescent="0.45">
      <c r="A80" s="4" t="s">
        <v>67</v>
      </c>
      <c r="B80" s="4" t="s">
        <v>191</v>
      </c>
      <c r="C80" s="4" t="s">
        <v>221</v>
      </c>
      <c r="D80" s="4">
        <v>5</v>
      </c>
      <c r="E80" s="4" t="s">
        <v>24</v>
      </c>
      <c r="F80" s="4" t="s">
        <v>27</v>
      </c>
    </row>
    <row r="81" spans="1:6" ht="25.05" customHeight="1" x14ac:dyDescent="0.45">
      <c r="A81" s="4" t="s">
        <v>67</v>
      </c>
      <c r="B81" s="4" t="s">
        <v>191</v>
      </c>
      <c r="C81" s="4" t="s">
        <v>222</v>
      </c>
      <c r="D81" s="4">
        <v>5</v>
      </c>
      <c r="E81" s="4" t="s">
        <v>24</v>
      </c>
      <c r="F81" s="4" t="s">
        <v>54</v>
      </c>
    </row>
    <row r="82" spans="1:6" ht="25.05" customHeight="1" x14ac:dyDescent="0.45">
      <c r="A82" s="4" t="s">
        <v>67</v>
      </c>
      <c r="B82" s="4" t="s">
        <v>191</v>
      </c>
      <c r="C82" s="4" t="s">
        <v>223</v>
      </c>
      <c r="D82" s="4">
        <v>4</v>
      </c>
      <c r="E82" s="4" t="s">
        <v>26</v>
      </c>
      <c r="F82" s="4" t="s">
        <v>29</v>
      </c>
    </row>
    <row r="83" spans="1:6" ht="25.05" customHeight="1" x14ac:dyDescent="0.45">
      <c r="A83" s="4" t="s">
        <v>97</v>
      </c>
      <c r="B83" s="4" t="s">
        <v>224</v>
      </c>
      <c r="C83" s="4" t="s">
        <v>225</v>
      </c>
      <c r="D83" s="4">
        <v>4</v>
      </c>
      <c r="E83" s="4" t="s">
        <v>26</v>
      </c>
      <c r="F83" s="4" t="s">
        <v>29</v>
      </c>
    </row>
    <row r="84" spans="1:6" ht="25.05" customHeight="1" x14ac:dyDescent="0.45">
      <c r="A84" s="4" t="s">
        <v>97</v>
      </c>
      <c r="B84" s="4" t="s">
        <v>224</v>
      </c>
      <c r="C84" s="4" t="s">
        <v>226</v>
      </c>
      <c r="D84" s="4">
        <v>4</v>
      </c>
      <c r="E84" s="4" t="s">
        <v>24</v>
      </c>
      <c r="F84" s="4" t="s">
        <v>27</v>
      </c>
    </row>
    <row r="85" spans="1:6" ht="25.05" customHeight="1" x14ac:dyDescent="0.45">
      <c r="A85" s="4" t="s">
        <v>97</v>
      </c>
      <c r="B85" s="4" t="s">
        <v>224</v>
      </c>
      <c r="C85" s="4" t="s">
        <v>227</v>
      </c>
      <c r="D85" s="4">
        <v>4</v>
      </c>
      <c r="E85" s="4" t="s">
        <v>24</v>
      </c>
      <c r="F85" s="4" t="s">
        <v>25</v>
      </c>
    </row>
    <row r="86" spans="1:6" ht="25.05" customHeight="1" x14ac:dyDescent="0.45">
      <c r="A86" s="4" t="s">
        <v>97</v>
      </c>
      <c r="B86" s="4" t="s">
        <v>197</v>
      </c>
      <c r="C86" s="4" t="s">
        <v>228</v>
      </c>
      <c r="D86" s="4">
        <v>4</v>
      </c>
      <c r="E86" s="4" t="s">
        <v>24</v>
      </c>
      <c r="F86" s="4" t="s">
        <v>25</v>
      </c>
    </row>
    <row r="87" spans="1:6" ht="25.05" customHeight="1" x14ac:dyDescent="0.45">
      <c r="A87" s="4" t="s">
        <v>97</v>
      </c>
      <c r="B87" s="4" t="s">
        <v>197</v>
      </c>
      <c r="C87" s="4" t="s">
        <v>229</v>
      </c>
      <c r="D87" s="4">
        <v>5</v>
      </c>
      <c r="E87" s="4" t="s">
        <v>24</v>
      </c>
      <c r="F87" s="4" t="s">
        <v>27</v>
      </c>
    </row>
    <row r="88" spans="1:6" ht="25.05" customHeight="1" x14ac:dyDescent="0.45">
      <c r="A88" s="4" t="s">
        <v>97</v>
      </c>
      <c r="B88" s="4" t="s">
        <v>197</v>
      </c>
      <c r="C88" s="4" t="s">
        <v>230</v>
      </c>
      <c r="D88" s="4">
        <v>3</v>
      </c>
      <c r="E88" s="4" t="s">
        <v>26</v>
      </c>
      <c r="F88" s="4" t="s">
        <v>29</v>
      </c>
    </row>
    <row r="89" spans="1:6" ht="25.05" customHeight="1" x14ac:dyDescent="0.45">
      <c r="A89" s="4" t="s">
        <v>48</v>
      </c>
      <c r="B89" s="4" t="s">
        <v>199</v>
      </c>
      <c r="C89" s="4" t="s">
        <v>231</v>
      </c>
      <c r="D89" s="4">
        <v>3</v>
      </c>
      <c r="E89" s="4" t="s">
        <v>26</v>
      </c>
      <c r="F89" s="4" t="s">
        <v>29</v>
      </c>
    </row>
    <row r="90" spans="1:6" ht="25.05" customHeight="1" x14ac:dyDescent="0.45">
      <c r="A90" s="4" t="s">
        <v>48</v>
      </c>
      <c r="B90" s="4" t="s">
        <v>199</v>
      </c>
      <c r="C90" s="4" t="s">
        <v>232</v>
      </c>
      <c r="D90" s="4">
        <v>5</v>
      </c>
      <c r="E90" s="4" t="s">
        <v>24</v>
      </c>
      <c r="F90" s="4" t="s">
        <v>27</v>
      </c>
    </row>
    <row r="91" spans="1:6" ht="25.05" customHeight="1" x14ac:dyDescent="0.45">
      <c r="A91" s="4" t="s">
        <v>48</v>
      </c>
      <c r="B91" s="4" t="s">
        <v>199</v>
      </c>
      <c r="C91" s="4" t="s">
        <v>233</v>
      </c>
      <c r="D91" s="4">
        <v>5</v>
      </c>
      <c r="E91" s="4" t="s">
        <v>24</v>
      </c>
      <c r="F91" s="4" t="s">
        <v>27</v>
      </c>
    </row>
    <row r="95" spans="1:6" ht="25.05" customHeight="1" x14ac:dyDescent="0.45">
      <c r="A95" s="7" t="s">
        <v>0</v>
      </c>
      <c r="B95" s="7" t="s">
        <v>259</v>
      </c>
      <c r="C95" s="7" t="s">
        <v>258</v>
      </c>
    </row>
    <row r="96" spans="1:6" ht="25.05" customHeight="1" x14ac:dyDescent="0.45">
      <c r="A96" s="4" t="s">
        <v>38</v>
      </c>
      <c r="B96" s="4" t="s">
        <v>45</v>
      </c>
      <c r="C96" s="4" t="s">
        <v>27</v>
      </c>
    </row>
    <row r="97" spans="1:3" ht="25.05" customHeight="1" x14ac:dyDescent="0.45">
      <c r="A97" s="4" t="s">
        <v>38</v>
      </c>
      <c r="B97" s="4" t="s">
        <v>46</v>
      </c>
      <c r="C97" s="4" t="s">
        <v>27</v>
      </c>
    </row>
    <row r="98" spans="1:3" ht="25.05" customHeight="1" x14ac:dyDescent="0.45">
      <c r="A98" s="4" t="s">
        <v>38</v>
      </c>
      <c r="B98" s="4" t="s">
        <v>47</v>
      </c>
      <c r="C98" t="s">
        <v>260</v>
      </c>
    </row>
    <row r="99" spans="1:3" ht="25.05" customHeight="1" x14ac:dyDescent="0.45">
      <c r="A99" s="4" t="s">
        <v>38</v>
      </c>
      <c r="B99" s="4" t="s">
        <v>149</v>
      </c>
      <c r="C99" s="4" t="s">
        <v>29</v>
      </c>
    </row>
    <row r="100" spans="1:3" ht="25.05" customHeight="1" x14ac:dyDescent="0.45">
      <c r="A100" s="4" t="s">
        <v>38</v>
      </c>
      <c r="B100" s="4" t="s">
        <v>210</v>
      </c>
      <c r="C100" t="s">
        <v>260</v>
      </c>
    </row>
    <row r="101" spans="1:3" ht="25.05" customHeight="1" x14ac:dyDescent="0.45">
      <c r="A101" s="4" t="s">
        <v>30</v>
      </c>
      <c r="B101" s="4" t="s">
        <v>35</v>
      </c>
      <c r="C101" s="4" t="s">
        <v>27</v>
      </c>
    </row>
    <row r="102" spans="1:3" ht="25.05" customHeight="1" x14ac:dyDescent="0.45">
      <c r="A102" s="4" t="s">
        <v>30</v>
      </c>
      <c r="B102" s="4" t="s">
        <v>36</v>
      </c>
      <c r="C102" s="4" t="s">
        <v>27</v>
      </c>
    </row>
    <row r="103" spans="1:3" ht="25.05" customHeight="1" x14ac:dyDescent="0.45">
      <c r="A103" s="4" t="s">
        <v>30</v>
      </c>
      <c r="B103" s="4" t="s">
        <v>37</v>
      </c>
      <c r="C103" s="4" t="s">
        <v>29</v>
      </c>
    </row>
    <row r="104" spans="1:3" ht="25.05" customHeight="1" x14ac:dyDescent="0.45">
      <c r="A104" s="4" t="s">
        <v>30</v>
      </c>
      <c r="B104" s="4" t="s">
        <v>207</v>
      </c>
      <c r="C104" s="4" t="s">
        <v>27</v>
      </c>
    </row>
    <row r="105" spans="1:3" ht="25.05" customHeight="1" x14ac:dyDescent="0.45">
      <c r="A105" s="4" t="s">
        <v>30</v>
      </c>
      <c r="B105" s="4" t="s">
        <v>208</v>
      </c>
      <c r="C105" s="4" t="s">
        <v>27</v>
      </c>
    </row>
    <row r="106" spans="1:3" ht="25.05" customHeight="1" x14ac:dyDescent="0.45">
      <c r="A106" s="4" t="s">
        <v>56</v>
      </c>
      <c r="B106" s="4" t="s">
        <v>62</v>
      </c>
      <c r="C106" s="4" t="s">
        <v>25</v>
      </c>
    </row>
    <row r="107" spans="1:3" ht="25.05" customHeight="1" x14ac:dyDescent="0.45">
      <c r="A107" s="4" t="s">
        <v>56</v>
      </c>
      <c r="B107" s="4" t="s">
        <v>64</v>
      </c>
      <c r="C107" s="4" t="s">
        <v>25</v>
      </c>
    </row>
    <row r="108" spans="1:3" ht="25.05" customHeight="1" x14ac:dyDescent="0.45">
      <c r="A108" s="4" t="s">
        <v>56</v>
      </c>
      <c r="B108" s="4" t="s">
        <v>65</v>
      </c>
      <c r="C108" s="4" t="s">
        <v>29</v>
      </c>
    </row>
    <row r="109" spans="1:3" ht="25.05" customHeight="1" x14ac:dyDescent="0.45">
      <c r="A109" s="4" t="s">
        <v>56</v>
      </c>
      <c r="B109" s="4" t="s">
        <v>156</v>
      </c>
      <c r="C109" s="4" t="s">
        <v>25</v>
      </c>
    </row>
    <row r="110" spans="1:3" ht="25.05" customHeight="1" x14ac:dyDescent="0.45">
      <c r="A110" s="4" t="s">
        <v>56</v>
      </c>
      <c r="B110" s="4" t="s">
        <v>218</v>
      </c>
      <c r="C110" s="4" t="s">
        <v>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DCE1-AD05-4366-B035-18EAE86D4A29}">
  <dimension ref="A1:F7"/>
  <sheetViews>
    <sheetView zoomScale="92" workbookViewId="0">
      <selection activeCell="F9" sqref="F9"/>
    </sheetView>
  </sheetViews>
  <sheetFormatPr defaultRowHeight="14.25" x14ac:dyDescent="0.45"/>
  <cols>
    <col min="1" max="4" width="18.53125" customWidth="1"/>
    <col min="5" max="5" width="12.1328125" customWidth="1"/>
    <col min="6" max="6" width="18.53125" customWidth="1"/>
  </cols>
  <sheetData>
    <row r="1" spans="1:6" ht="32.75" customHeight="1" x14ac:dyDescent="0.45">
      <c r="A1" s="6" t="s">
        <v>234</v>
      </c>
      <c r="B1" s="6" t="s">
        <v>235</v>
      </c>
      <c r="C1" s="6" t="s">
        <v>236</v>
      </c>
      <c r="D1" s="6" t="s">
        <v>237</v>
      </c>
      <c r="E1" s="6" t="s">
        <v>238</v>
      </c>
      <c r="F1" s="6" t="s">
        <v>48</v>
      </c>
    </row>
    <row r="2" spans="1:6" ht="32.75" customHeight="1" x14ac:dyDescent="0.45">
      <c r="A2" s="4" t="s">
        <v>239</v>
      </c>
      <c r="B2" s="4" t="s">
        <v>240</v>
      </c>
      <c r="C2" s="4" t="s">
        <v>240</v>
      </c>
      <c r="D2" s="4" t="s">
        <v>241</v>
      </c>
      <c r="E2" s="4" t="s">
        <v>242</v>
      </c>
      <c r="F2" s="4" t="s">
        <v>242</v>
      </c>
    </row>
    <row r="3" spans="1:6" ht="32.75" customHeight="1" x14ac:dyDescent="0.45">
      <c r="A3" s="4" t="s">
        <v>243</v>
      </c>
      <c r="B3" s="4" t="s">
        <v>244</v>
      </c>
      <c r="C3" s="4" t="s">
        <v>244</v>
      </c>
      <c r="D3" s="4" t="s">
        <v>245</v>
      </c>
      <c r="E3" s="4" t="s">
        <v>244</v>
      </c>
      <c r="F3" s="4" t="s">
        <v>244</v>
      </c>
    </row>
    <row r="4" spans="1:6" ht="32.75" customHeight="1" x14ac:dyDescent="0.45">
      <c r="A4" s="4" t="s">
        <v>246</v>
      </c>
      <c r="B4" t="s">
        <v>253</v>
      </c>
      <c r="C4" t="s">
        <v>253</v>
      </c>
      <c r="D4" s="4" t="s">
        <v>247</v>
      </c>
      <c r="E4" s="4" t="s">
        <v>244</v>
      </c>
      <c r="F4" s="4" t="s">
        <v>244</v>
      </c>
    </row>
    <row r="5" spans="1:6" ht="32.75" customHeight="1" x14ac:dyDescent="0.45">
      <c r="A5" s="4" t="s">
        <v>248</v>
      </c>
      <c r="B5" s="4" t="s">
        <v>244</v>
      </c>
      <c r="C5" s="4" t="s">
        <v>244</v>
      </c>
      <c r="D5" s="4" t="s">
        <v>249</v>
      </c>
      <c r="E5" s="8" t="s">
        <v>250</v>
      </c>
      <c r="F5" s="4" t="s">
        <v>249</v>
      </c>
    </row>
    <row r="6" spans="1:6" ht="32.75" customHeight="1" x14ac:dyDescent="0.45">
      <c r="A6" s="4" t="s">
        <v>251</v>
      </c>
      <c r="B6" s="4" t="s">
        <v>244</v>
      </c>
      <c r="C6" s="4" t="s">
        <v>244</v>
      </c>
      <c r="D6" s="4" t="s">
        <v>244</v>
      </c>
      <c r="E6" s="4" t="s">
        <v>244</v>
      </c>
      <c r="F6" s="4" t="s">
        <v>244</v>
      </c>
    </row>
    <row r="7" spans="1:6" ht="32.75" customHeight="1" x14ac:dyDescent="0.45">
      <c r="A7" s="4" t="s">
        <v>252</v>
      </c>
      <c r="B7" s="4" t="s">
        <v>244</v>
      </c>
      <c r="C7" s="4" t="s">
        <v>244</v>
      </c>
      <c r="D7" s="4" t="s">
        <v>244</v>
      </c>
      <c r="E7" s="4" t="s">
        <v>244</v>
      </c>
      <c r="F7" s="4" t="s">
        <v>244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7ACC-B201-42BA-8D1C-350C8EAD6395}">
  <dimension ref="A1:C159"/>
  <sheetViews>
    <sheetView zoomScale="86" workbookViewId="0">
      <selection activeCell="K8" sqref="K8"/>
    </sheetView>
  </sheetViews>
  <sheetFormatPr defaultRowHeight="14.25" x14ac:dyDescent="0.45"/>
  <cols>
    <col min="1" max="1" width="15" customWidth="1"/>
    <col min="2" max="2" width="8" customWidth="1"/>
    <col min="3" max="3" width="12" customWidth="1"/>
  </cols>
  <sheetData>
    <row r="1" spans="1:3" x14ac:dyDescent="0.45">
      <c r="A1" s="2" t="s">
        <v>0</v>
      </c>
      <c r="B1" s="2" t="s">
        <v>7</v>
      </c>
      <c r="C1" s="2" t="s">
        <v>8</v>
      </c>
    </row>
    <row r="2" spans="1:3" x14ac:dyDescent="0.45">
      <c r="A2" s="4" t="s">
        <v>81</v>
      </c>
      <c r="B2" s="4" t="s">
        <v>18</v>
      </c>
      <c r="C2" s="4">
        <v>97</v>
      </c>
    </row>
    <row r="3" spans="1:3" x14ac:dyDescent="0.45">
      <c r="A3" s="4" t="s">
        <v>81</v>
      </c>
      <c r="B3" s="4" t="s">
        <v>20</v>
      </c>
      <c r="C3" s="4">
        <v>101.9</v>
      </c>
    </row>
    <row r="4" spans="1:3" x14ac:dyDescent="0.45">
      <c r="A4" s="4" t="s">
        <v>81</v>
      </c>
      <c r="B4" s="4" t="s">
        <v>21</v>
      </c>
      <c r="C4" s="4">
        <v>106.9</v>
      </c>
    </row>
    <row r="5" spans="1:3" x14ac:dyDescent="0.45">
      <c r="A5" s="4" t="s">
        <v>81</v>
      </c>
      <c r="B5" s="4" t="s">
        <v>22</v>
      </c>
      <c r="C5" s="4">
        <v>112</v>
      </c>
    </row>
    <row r="6" spans="1:3" x14ac:dyDescent="0.45">
      <c r="A6" s="4" t="s">
        <v>81</v>
      </c>
      <c r="B6" s="4" t="s">
        <v>18</v>
      </c>
      <c r="C6" s="4">
        <v>97</v>
      </c>
    </row>
    <row r="7" spans="1:3" x14ac:dyDescent="0.45">
      <c r="A7" s="4" t="s">
        <v>81</v>
      </c>
      <c r="B7" s="4" t="s">
        <v>20</v>
      </c>
      <c r="C7" s="4">
        <v>101.9</v>
      </c>
    </row>
    <row r="8" spans="1:3" x14ac:dyDescent="0.45">
      <c r="A8" s="4" t="s">
        <v>81</v>
      </c>
      <c r="B8" s="4" t="s">
        <v>21</v>
      </c>
      <c r="C8" s="4">
        <v>106.9</v>
      </c>
    </row>
    <row r="9" spans="1:3" x14ac:dyDescent="0.45">
      <c r="A9" s="4" t="s">
        <v>81</v>
      </c>
      <c r="B9" s="4" t="s">
        <v>22</v>
      </c>
      <c r="C9" s="4">
        <v>112</v>
      </c>
    </row>
    <row r="10" spans="1:3" x14ac:dyDescent="0.45">
      <c r="A10" s="4" t="s">
        <v>30</v>
      </c>
      <c r="B10" s="4" t="s">
        <v>28</v>
      </c>
      <c r="C10" s="4">
        <v>96</v>
      </c>
    </row>
    <row r="11" spans="1:3" x14ac:dyDescent="0.45">
      <c r="A11" s="4" t="s">
        <v>30</v>
      </c>
      <c r="B11" s="4" t="s">
        <v>18</v>
      </c>
      <c r="C11" s="4">
        <v>102.1</v>
      </c>
    </row>
    <row r="12" spans="1:3" x14ac:dyDescent="0.45">
      <c r="A12" s="4" t="s">
        <v>30</v>
      </c>
      <c r="B12" s="4" t="s">
        <v>20</v>
      </c>
      <c r="C12" s="4">
        <v>109.9</v>
      </c>
    </row>
    <row r="13" spans="1:3" x14ac:dyDescent="0.45">
      <c r="A13" s="4" t="s">
        <v>30</v>
      </c>
      <c r="B13" s="4" t="s">
        <v>21</v>
      </c>
      <c r="C13" s="4">
        <v>118.1</v>
      </c>
    </row>
    <row r="14" spans="1:3" x14ac:dyDescent="0.45">
      <c r="A14" s="4" t="s">
        <v>30</v>
      </c>
      <c r="B14" s="4" t="s">
        <v>22</v>
      </c>
      <c r="C14" s="4">
        <v>128</v>
      </c>
    </row>
    <row r="15" spans="1:3" x14ac:dyDescent="0.45">
      <c r="A15" s="4" t="s">
        <v>30</v>
      </c>
      <c r="B15" s="4" t="s">
        <v>23</v>
      </c>
      <c r="C15" s="4">
        <v>139.9</v>
      </c>
    </row>
    <row r="16" spans="1:3" x14ac:dyDescent="0.45">
      <c r="A16" s="4" t="s">
        <v>38</v>
      </c>
      <c r="B16" s="4" t="s">
        <v>28</v>
      </c>
      <c r="C16" s="4">
        <v>85.1</v>
      </c>
    </row>
    <row r="17" spans="1:3" x14ac:dyDescent="0.45">
      <c r="A17" s="4" t="s">
        <v>38</v>
      </c>
      <c r="B17" s="4" t="s">
        <v>18</v>
      </c>
      <c r="C17" s="4">
        <v>93</v>
      </c>
    </row>
    <row r="18" spans="1:3" x14ac:dyDescent="0.45">
      <c r="A18" s="4" t="s">
        <v>38</v>
      </c>
      <c r="B18" s="4" t="s">
        <v>20</v>
      </c>
      <c r="C18" s="4">
        <v>101.1</v>
      </c>
    </row>
    <row r="19" spans="1:3" x14ac:dyDescent="0.45">
      <c r="A19" s="4" t="s">
        <v>38</v>
      </c>
      <c r="B19" s="4" t="s">
        <v>21</v>
      </c>
      <c r="C19" s="4">
        <v>109</v>
      </c>
    </row>
    <row r="20" spans="1:3" x14ac:dyDescent="0.45">
      <c r="A20" s="4" t="s">
        <v>38</v>
      </c>
      <c r="B20" s="4" t="s">
        <v>22</v>
      </c>
      <c r="C20" s="4">
        <v>119.1</v>
      </c>
    </row>
    <row r="21" spans="1:3" x14ac:dyDescent="0.45">
      <c r="A21" s="4" t="s">
        <v>38</v>
      </c>
      <c r="B21" s="4" t="s">
        <v>23</v>
      </c>
      <c r="C21" s="4">
        <v>129</v>
      </c>
    </row>
    <row r="22" spans="1:3" x14ac:dyDescent="0.45">
      <c r="A22" s="4" t="s">
        <v>38</v>
      </c>
      <c r="B22" s="4" t="s">
        <v>43</v>
      </c>
      <c r="C22" s="4">
        <v>138.9</v>
      </c>
    </row>
    <row r="23" spans="1:3" x14ac:dyDescent="0.45">
      <c r="A23" s="4" t="s">
        <v>38</v>
      </c>
      <c r="B23" s="4" t="s">
        <v>44</v>
      </c>
      <c r="C23" s="4">
        <v>149.1</v>
      </c>
    </row>
    <row r="24" spans="1:3" x14ac:dyDescent="0.45">
      <c r="A24" s="4" t="s">
        <v>48</v>
      </c>
      <c r="B24" s="4" t="s">
        <v>28</v>
      </c>
      <c r="C24" s="4">
        <v>83.8</v>
      </c>
    </row>
    <row r="25" spans="1:3" x14ac:dyDescent="0.45">
      <c r="A25" s="4" t="s">
        <v>48</v>
      </c>
      <c r="B25" s="4" t="s">
        <v>18</v>
      </c>
      <c r="C25" s="4">
        <v>92.2</v>
      </c>
    </row>
    <row r="26" spans="1:3" x14ac:dyDescent="0.45">
      <c r="A26" s="4" t="s">
        <v>48</v>
      </c>
      <c r="B26" s="4" t="s">
        <v>20</v>
      </c>
      <c r="C26" s="4">
        <v>100.3</v>
      </c>
    </row>
    <row r="27" spans="1:3" x14ac:dyDescent="0.45">
      <c r="A27" s="4" t="s">
        <v>48</v>
      </c>
      <c r="B27" s="4" t="s">
        <v>21</v>
      </c>
      <c r="C27" s="4">
        <v>108</v>
      </c>
    </row>
    <row r="28" spans="1:3" x14ac:dyDescent="0.45">
      <c r="A28" s="4" t="s">
        <v>48</v>
      </c>
      <c r="B28" s="4" t="s">
        <v>22</v>
      </c>
      <c r="C28" s="4">
        <v>115.6</v>
      </c>
    </row>
    <row r="29" spans="1:3" x14ac:dyDescent="0.45">
      <c r="A29" s="4" t="s">
        <v>48</v>
      </c>
      <c r="B29" s="4" t="s">
        <v>23</v>
      </c>
      <c r="C29" s="4">
        <v>124</v>
      </c>
    </row>
    <row r="30" spans="1:3" x14ac:dyDescent="0.45">
      <c r="A30" s="4" t="s">
        <v>56</v>
      </c>
      <c r="B30" s="4" t="s">
        <v>28</v>
      </c>
      <c r="C30" s="4">
        <v>91.4</v>
      </c>
    </row>
    <row r="31" spans="1:3" x14ac:dyDescent="0.45">
      <c r="A31" s="4" t="s">
        <v>56</v>
      </c>
      <c r="B31" s="4" t="s">
        <v>18</v>
      </c>
      <c r="C31" s="4">
        <v>96.5</v>
      </c>
    </row>
    <row r="32" spans="1:3" x14ac:dyDescent="0.45">
      <c r="A32" s="4" t="s">
        <v>56</v>
      </c>
      <c r="B32" s="4" t="s">
        <v>20</v>
      </c>
      <c r="C32" s="4">
        <v>101.6</v>
      </c>
    </row>
    <row r="33" spans="1:3" x14ac:dyDescent="0.45">
      <c r="A33" s="4" t="s">
        <v>56</v>
      </c>
      <c r="B33" s="4" t="s">
        <v>21</v>
      </c>
      <c r="C33" s="4">
        <v>106.7</v>
      </c>
    </row>
    <row r="34" spans="1:3" x14ac:dyDescent="0.45">
      <c r="A34" s="4" t="s">
        <v>56</v>
      </c>
      <c r="B34" s="4" t="s">
        <v>22</v>
      </c>
      <c r="C34" s="4">
        <v>113</v>
      </c>
    </row>
    <row r="35" spans="1:3" x14ac:dyDescent="0.45">
      <c r="A35" s="4" t="s">
        <v>56</v>
      </c>
      <c r="B35" s="4" t="s">
        <v>23</v>
      </c>
      <c r="C35" s="4">
        <v>119.4</v>
      </c>
    </row>
    <row r="36" spans="1:3" x14ac:dyDescent="0.45">
      <c r="A36" s="4" t="s">
        <v>56</v>
      </c>
      <c r="B36" s="4" t="s">
        <v>43</v>
      </c>
      <c r="C36" s="4">
        <v>127</v>
      </c>
    </row>
    <row r="37" spans="1:3" x14ac:dyDescent="0.45">
      <c r="A37" s="4" t="s">
        <v>56</v>
      </c>
      <c r="B37" s="4" t="s">
        <v>18</v>
      </c>
      <c r="C37" s="4">
        <v>96.5</v>
      </c>
    </row>
    <row r="38" spans="1:3" x14ac:dyDescent="0.45">
      <c r="A38" s="4" t="s">
        <v>56</v>
      </c>
      <c r="B38" s="4" t="s">
        <v>20</v>
      </c>
      <c r="C38" s="4">
        <v>101.6</v>
      </c>
    </row>
    <row r="39" spans="1:3" x14ac:dyDescent="0.45">
      <c r="A39" s="4" t="s">
        <v>56</v>
      </c>
      <c r="B39" s="4" t="s">
        <v>21</v>
      </c>
      <c r="C39" s="4">
        <v>106.7</v>
      </c>
    </row>
    <row r="40" spans="1:3" x14ac:dyDescent="0.45">
      <c r="A40" s="4" t="s">
        <v>56</v>
      </c>
      <c r="B40" s="4" t="s">
        <v>22</v>
      </c>
      <c r="C40" s="4">
        <v>113</v>
      </c>
    </row>
    <row r="41" spans="1:3" x14ac:dyDescent="0.45">
      <c r="A41" s="4" t="s">
        <v>67</v>
      </c>
      <c r="B41" s="4" t="s">
        <v>18</v>
      </c>
      <c r="C41" s="4">
        <v>96.5</v>
      </c>
    </row>
    <row r="42" spans="1:3" x14ac:dyDescent="0.45">
      <c r="A42" s="4" t="s">
        <v>67</v>
      </c>
      <c r="B42" s="4" t="s">
        <v>20</v>
      </c>
      <c r="C42" s="4">
        <v>101.6</v>
      </c>
    </row>
    <row r="43" spans="1:3" x14ac:dyDescent="0.45">
      <c r="A43" s="4" t="s">
        <v>67</v>
      </c>
      <c r="B43" s="4" t="s">
        <v>21</v>
      </c>
      <c r="C43" s="4">
        <v>106.7</v>
      </c>
    </row>
    <row r="44" spans="1:3" x14ac:dyDescent="0.45">
      <c r="A44" s="4" t="s">
        <v>67</v>
      </c>
      <c r="B44" s="4" t="s">
        <v>22</v>
      </c>
      <c r="C44" s="4">
        <v>111.8</v>
      </c>
    </row>
    <row r="45" spans="1:3" x14ac:dyDescent="0.45">
      <c r="A45" s="4" t="s">
        <v>74</v>
      </c>
      <c r="B45" s="4" t="s">
        <v>18</v>
      </c>
      <c r="C45" s="4">
        <v>97.8</v>
      </c>
    </row>
    <row r="46" spans="1:3" x14ac:dyDescent="0.45">
      <c r="A46" s="4" t="s">
        <v>74</v>
      </c>
      <c r="B46" s="4" t="s">
        <v>20</v>
      </c>
      <c r="C46" s="4">
        <v>102.9</v>
      </c>
    </row>
    <row r="47" spans="1:3" x14ac:dyDescent="0.45">
      <c r="A47" s="4" t="s">
        <v>74</v>
      </c>
      <c r="B47" s="4" t="s">
        <v>21</v>
      </c>
      <c r="C47" s="4">
        <v>108</v>
      </c>
    </row>
    <row r="48" spans="1:3" x14ac:dyDescent="0.45">
      <c r="A48" s="4" t="s">
        <v>74</v>
      </c>
      <c r="B48" s="4" t="s">
        <v>22</v>
      </c>
      <c r="C48" s="4">
        <v>115.6</v>
      </c>
    </row>
    <row r="49" spans="1:3" x14ac:dyDescent="0.45">
      <c r="A49" s="4" t="s">
        <v>74</v>
      </c>
      <c r="B49" s="4" t="s">
        <v>23</v>
      </c>
      <c r="C49" s="4">
        <v>123.2</v>
      </c>
    </row>
    <row r="50" spans="1:3" x14ac:dyDescent="0.45">
      <c r="A50" s="4" t="s">
        <v>97</v>
      </c>
      <c r="B50" s="4" t="s">
        <v>20</v>
      </c>
      <c r="C50" s="4">
        <v>101.6</v>
      </c>
    </row>
    <row r="51" spans="1:3" x14ac:dyDescent="0.45">
      <c r="A51" s="4" t="s">
        <v>97</v>
      </c>
      <c r="B51" s="4" t="s">
        <v>21</v>
      </c>
      <c r="C51" s="4">
        <v>106.7</v>
      </c>
    </row>
    <row r="52" spans="1:3" x14ac:dyDescent="0.45">
      <c r="A52" s="4" t="s">
        <v>97</v>
      </c>
      <c r="B52" s="4" t="s">
        <v>22</v>
      </c>
      <c r="C52" s="4">
        <v>111.8</v>
      </c>
    </row>
    <row r="53" spans="1:3" x14ac:dyDescent="0.45">
      <c r="A53" s="4" t="s">
        <v>81</v>
      </c>
      <c r="B53" s="4" t="s">
        <v>28</v>
      </c>
      <c r="C53" s="4">
        <v>94</v>
      </c>
    </row>
    <row r="54" spans="1:3" x14ac:dyDescent="0.45">
      <c r="A54" s="4" t="s">
        <v>81</v>
      </c>
      <c r="B54" s="4" t="s">
        <v>18</v>
      </c>
      <c r="C54" s="4">
        <v>105.2</v>
      </c>
    </row>
    <row r="55" spans="1:3" x14ac:dyDescent="0.45">
      <c r="A55" s="4" t="s">
        <v>81</v>
      </c>
      <c r="B55" s="4" t="s">
        <v>20</v>
      </c>
      <c r="C55" s="4">
        <v>111.8</v>
      </c>
    </row>
    <row r="56" spans="1:3" x14ac:dyDescent="0.45">
      <c r="A56" s="4" t="s">
        <v>81</v>
      </c>
      <c r="B56" s="4" t="s">
        <v>21</v>
      </c>
      <c r="C56" s="4">
        <v>119.4</v>
      </c>
    </row>
    <row r="57" spans="1:3" x14ac:dyDescent="0.45">
      <c r="A57" s="4" t="s">
        <v>81</v>
      </c>
      <c r="B57" s="4" t="s">
        <v>22</v>
      </c>
      <c r="C57" s="4">
        <v>127</v>
      </c>
    </row>
    <row r="58" spans="1:3" x14ac:dyDescent="0.45">
      <c r="A58" s="4" t="s">
        <v>81</v>
      </c>
      <c r="B58" s="4" t="s">
        <v>23</v>
      </c>
      <c r="C58" s="4">
        <v>134.6</v>
      </c>
    </row>
    <row r="59" spans="1:3" x14ac:dyDescent="0.45">
      <c r="A59" s="4" t="s">
        <v>81</v>
      </c>
      <c r="B59" s="4" t="s">
        <v>18</v>
      </c>
      <c r="C59" s="4">
        <v>100.3</v>
      </c>
    </row>
    <row r="60" spans="1:3" x14ac:dyDescent="0.45">
      <c r="A60" s="4" t="s">
        <v>81</v>
      </c>
      <c r="B60" s="4" t="s">
        <v>20</v>
      </c>
      <c r="C60" s="4">
        <v>108</v>
      </c>
    </row>
    <row r="61" spans="1:3" x14ac:dyDescent="0.45">
      <c r="A61" s="4" t="s">
        <v>81</v>
      </c>
      <c r="B61" s="4" t="s">
        <v>21</v>
      </c>
      <c r="C61" s="4">
        <v>115.6</v>
      </c>
    </row>
    <row r="62" spans="1:3" x14ac:dyDescent="0.45">
      <c r="A62" s="4" t="s">
        <v>81</v>
      </c>
      <c r="B62" s="4" t="s">
        <v>22</v>
      </c>
      <c r="C62" s="4">
        <v>123.2</v>
      </c>
    </row>
    <row r="63" spans="1:3" x14ac:dyDescent="0.45">
      <c r="A63" s="4" t="s">
        <v>81</v>
      </c>
      <c r="B63" s="4" t="s">
        <v>23</v>
      </c>
      <c r="C63" s="4">
        <v>130.80000000000001</v>
      </c>
    </row>
    <row r="64" spans="1:3" x14ac:dyDescent="0.45">
      <c r="A64" s="4" t="s">
        <v>113</v>
      </c>
      <c r="B64" s="4" t="s">
        <v>18</v>
      </c>
      <c r="C64" s="4">
        <v>104.1</v>
      </c>
    </row>
    <row r="65" spans="1:3" x14ac:dyDescent="0.45">
      <c r="A65" s="4" t="s">
        <v>113</v>
      </c>
      <c r="B65" s="4" t="s">
        <v>20</v>
      </c>
      <c r="C65" s="4">
        <v>109.2</v>
      </c>
    </row>
    <row r="66" spans="1:3" x14ac:dyDescent="0.45">
      <c r="A66" s="4" t="s">
        <v>113</v>
      </c>
      <c r="B66" s="4" t="s">
        <v>21</v>
      </c>
      <c r="C66" s="4">
        <v>114.3</v>
      </c>
    </row>
    <row r="67" spans="1:3" x14ac:dyDescent="0.45">
      <c r="A67" s="4" t="s">
        <v>113</v>
      </c>
      <c r="B67" s="4" t="s">
        <v>22</v>
      </c>
      <c r="C67" s="4">
        <v>119.4</v>
      </c>
    </row>
    <row r="68" spans="1:3" x14ac:dyDescent="0.45">
      <c r="A68" s="4" t="s">
        <v>38</v>
      </c>
      <c r="B68" s="4" t="s">
        <v>28</v>
      </c>
      <c r="C68" s="4">
        <v>90.9</v>
      </c>
    </row>
    <row r="69" spans="1:3" x14ac:dyDescent="0.45">
      <c r="A69" s="4" t="s">
        <v>38</v>
      </c>
      <c r="B69" s="4" t="s">
        <v>18</v>
      </c>
      <c r="C69" s="4">
        <v>99.1</v>
      </c>
    </row>
    <row r="70" spans="1:3" x14ac:dyDescent="0.45">
      <c r="A70" s="4" t="s">
        <v>38</v>
      </c>
      <c r="B70" s="4" t="s">
        <v>20</v>
      </c>
      <c r="C70" s="4">
        <v>106.9</v>
      </c>
    </row>
    <row r="71" spans="1:3" x14ac:dyDescent="0.45">
      <c r="A71" s="4" t="s">
        <v>38</v>
      </c>
      <c r="B71" s="4" t="s">
        <v>21</v>
      </c>
      <c r="C71" s="4">
        <v>115.1</v>
      </c>
    </row>
    <row r="72" spans="1:3" x14ac:dyDescent="0.45">
      <c r="A72" s="4" t="s">
        <v>38</v>
      </c>
      <c r="B72" s="4" t="s">
        <v>22</v>
      </c>
      <c r="C72" s="4">
        <v>125</v>
      </c>
    </row>
    <row r="73" spans="1:3" x14ac:dyDescent="0.45">
      <c r="A73" s="4" t="s">
        <v>38</v>
      </c>
      <c r="B73" s="4" t="s">
        <v>23</v>
      </c>
      <c r="C73" s="4">
        <v>134.9</v>
      </c>
    </row>
    <row r="74" spans="1:3" x14ac:dyDescent="0.45">
      <c r="A74" s="4" t="s">
        <v>48</v>
      </c>
      <c r="B74" s="4" t="s">
        <v>28</v>
      </c>
      <c r="C74" s="4">
        <v>82</v>
      </c>
    </row>
    <row r="75" spans="1:3" x14ac:dyDescent="0.45">
      <c r="A75" s="4" t="s">
        <v>48</v>
      </c>
      <c r="B75" s="4" t="s">
        <v>18</v>
      </c>
      <c r="C75" s="4">
        <v>87.9</v>
      </c>
    </row>
    <row r="76" spans="1:3" x14ac:dyDescent="0.45">
      <c r="A76" s="4" t="s">
        <v>48</v>
      </c>
      <c r="B76" s="4" t="s">
        <v>20</v>
      </c>
      <c r="C76" s="4">
        <v>96</v>
      </c>
    </row>
    <row r="77" spans="1:3" x14ac:dyDescent="0.45">
      <c r="A77" s="4" t="s">
        <v>48</v>
      </c>
      <c r="B77" s="4" t="s">
        <v>21</v>
      </c>
      <c r="C77" s="4">
        <v>104.1</v>
      </c>
    </row>
    <row r="78" spans="1:3" x14ac:dyDescent="0.45">
      <c r="A78" s="4" t="s">
        <v>48</v>
      </c>
      <c r="B78" s="4" t="s">
        <v>22</v>
      </c>
      <c r="C78" s="4">
        <v>111.8</v>
      </c>
    </row>
    <row r="79" spans="1:3" x14ac:dyDescent="0.45">
      <c r="A79" s="4" t="s">
        <v>48</v>
      </c>
      <c r="B79" s="4" t="s">
        <v>23</v>
      </c>
      <c r="C79" s="4">
        <v>120.1</v>
      </c>
    </row>
    <row r="80" spans="1:3" x14ac:dyDescent="0.45">
      <c r="A80" s="4" t="s">
        <v>56</v>
      </c>
      <c r="B80" s="4" t="s">
        <v>18</v>
      </c>
      <c r="C80" s="4">
        <v>100.3</v>
      </c>
    </row>
    <row r="81" spans="1:3" x14ac:dyDescent="0.45">
      <c r="A81" s="4" t="s">
        <v>56</v>
      </c>
      <c r="B81" s="4" t="s">
        <v>20</v>
      </c>
      <c r="C81" s="4">
        <v>107.4</v>
      </c>
    </row>
    <row r="82" spans="1:3" x14ac:dyDescent="0.45">
      <c r="A82" s="4" t="s">
        <v>56</v>
      </c>
      <c r="B82" s="4" t="s">
        <v>21</v>
      </c>
      <c r="C82" s="4">
        <v>115.1</v>
      </c>
    </row>
    <row r="83" spans="1:3" x14ac:dyDescent="0.45">
      <c r="A83" s="4" t="s">
        <v>56</v>
      </c>
      <c r="B83" s="4" t="s">
        <v>22</v>
      </c>
      <c r="C83" s="4">
        <v>122.7</v>
      </c>
    </row>
    <row r="84" spans="1:3" x14ac:dyDescent="0.45">
      <c r="A84" s="4" t="s">
        <v>56</v>
      </c>
      <c r="B84" s="4" t="s">
        <v>18</v>
      </c>
      <c r="C84" s="4">
        <v>96.5</v>
      </c>
    </row>
    <row r="85" spans="1:3" x14ac:dyDescent="0.45">
      <c r="A85" s="4" t="s">
        <v>56</v>
      </c>
      <c r="B85" s="4" t="s">
        <v>20</v>
      </c>
      <c r="C85" s="4">
        <v>106.7</v>
      </c>
    </row>
    <row r="86" spans="1:3" x14ac:dyDescent="0.45">
      <c r="A86" s="4" t="s">
        <v>56</v>
      </c>
      <c r="B86" s="4" t="s">
        <v>21</v>
      </c>
      <c r="C86" s="4">
        <v>114.3</v>
      </c>
    </row>
    <row r="87" spans="1:3" x14ac:dyDescent="0.45">
      <c r="A87" s="4" t="s">
        <v>56</v>
      </c>
      <c r="B87" s="4" t="s">
        <v>22</v>
      </c>
      <c r="C87" s="4">
        <v>121.9</v>
      </c>
    </row>
    <row r="88" spans="1:3" x14ac:dyDescent="0.45">
      <c r="A88" s="4" t="s">
        <v>56</v>
      </c>
      <c r="B88" s="4" t="s">
        <v>23</v>
      </c>
      <c r="C88" s="4">
        <v>130.30000000000001</v>
      </c>
    </row>
    <row r="89" spans="1:3" x14ac:dyDescent="0.45">
      <c r="A89" s="4" t="s">
        <v>67</v>
      </c>
      <c r="B89" s="4" t="s">
        <v>18</v>
      </c>
      <c r="C89" s="4">
        <v>100.3</v>
      </c>
    </row>
    <row r="90" spans="1:3" x14ac:dyDescent="0.45">
      <c r="A90" s="4" t="s">
        <v>67</v>
      </c>
      <c r="B90" s="4" t="s">
        <v>20</v>
      </c>
      <c r="C90" s="4">
        <v>107.4</v>
      </c>
    </row>
    <row r="91" spans="1:3" x14ac:dyDescent="0.45">
      <c r="A91" s="4" t="s">
        <v>67</v>
      </c>
      <c r="B91" s="4" t="s">
        <v>21</v>
      </c>
      <c r="C91" s="4">
        <v>115.1</v>
      </c>
    </row>
    <row r="92" spans="1:3" x14ac:dyDescent="0.45">
      <c r="A92" s="4" t="s">
        <v>67</v>
      </c>
      <c r="B92" s="4" t="s">
        <v>22</v>
      </c>
      <c r="C92" s="4">
        <v>122.7</v>
      </c>
    </row>
    <row r="93" spans="1:3" x14ac:dyDescent="0.45">
      <c r="A93" s="4" t="s">
        <v>74</v>
      </c>
      <c r="B93" s="4" t="s">
        <v>18</v>
      </c>
      <c r="C93" s="4">
        <v>107.4</v>
      </c>
    </row>
    <row r="94" spans="1:3" x14ac:dyDescent="0.45">
      <c r="A94" s="4" t="s">
        <v>74</v>
      </c>
      <c r="B94" s="4" t="s">
        <v>20</v>
      </c>
      <c r="C94" s="4">
        <v>112.5</v>
      </c>
    </row>
    <row r="95" spans="1:3" x14ac:dyDescent="0.45">
      <c r="A95" s="4" t="s">
        <v>74</v>
      </c>
      <c r="B95" s="4" t="s">
        <v>21</v>
      </c>
      <c r="C95" s="4">
        <v>117.6</v>
      </c>
    </row>
    <row r="96" spans="1:3" x14ac:dyDescent="0.45">
      <c r="A96" s="4" t="s">
        <v>74</v>
      </c>
      <c r="B96" s="4" t="s">
        <v>22</v>
      </c>
      <c r="C96" s="4">
        <v>122.7</v>
      </c>
    </row>
    <row r="97" spans="1:3" x14ac:dyDescent="0.45">
      <c r="A97" s="4" t="s">
        <v>74</v>
      </c>
      <c r="B97" s="4" t="s">
        <v>23</v>
      </c>
      <c r="C97" s="4">
        <v>127.8</v>
      </c>
    </row>
    <row r="98" spans="1:3" x14ac:dyDescent="0.45">
      <c r="A98" s="4" t="s">
        <v>97</v>
      </c>
      <c r="B98" s="4" t="s">
        <v>18</v>
      </c>
      <c r="C98" s="4">
        <v>101.6</v>
      </c>
    </row>
    <row r="99" spans="1:3" x14ac:dyDescent="0.45">
      <c r="A99" s="4" t="s">
        <v>97</v>
      </c>
      <c r="B99" s="4" t="s">
        <v>20</v>
      </c>
      <c r="C99" s="4">
        <v>106.7</v>
      </c>
    </row>
    <row r="100" spans="1:3" x14ac:dyDescent="0.45">
      <c r="A100" s="4" t="s">
        <v>97</v>
      </c>
      <c r="B100" s="4" t="s">
        <v>21</v>
      </c>
      <c r="C100" s="4">
        <v>111.8</v>
      </c>
    </row>
    <row r="101" spans="1:3" x14ac:dyDescent="0.45">
      <c r="A101" s="4" t="s">
        <v>97</v>
      </c>
      <c r="B101" s="4" t="s">
        <v>22</v>
      </c>
      <c r="C101" s="4">
        <v>116.8</v>
      </c>
    </row>
    <row r="102" spans="1:3" x14ac:dyDescent="0.45">
      <c r="A102" s="4" t="s">
        <v>97</v>
      </c>
      <c r="B102" s="4" t="s">
        <v>23</v>
      </c>
      <c r="C102" s="4">
        <v>124.5</v>
      </c>
    </row>
    <row r="103" spans="1:3" x14ac:dyDescent="0.45">
      <c r="A103" s="4" t="s">
        <v>81</v>
      </c>
      <c r="B103" s="4" t="s">
        <v>28</v>
      </c>
      <c r="C103" s="4">
        <v>94</v>
      </c>
    </row>
    <row r="104" spans="1:3" x14ac:dyDescent="0.45">
      <c r="A104" s="4" t="s">
        <v>81</v>
      </c>
      <c r="B104" s="4" t="s">
        <v>18</v>
      </c>
      <c r="C104" s="4">
        <v>99.1</v>
      </c>
    </row>
    <row r="105" spans="1:3" x14ac:dyDescent="0.45">
      <c r="A105" s="4" t="s">
        <v>81</v>
      </c>
      <c r="B105" s="4" t="s">
        <v>20</v>
      </c>
      <c r="C105" s="4">
        <v>104.1</v>
      </c>
    </row>
    <row r="106" spans="1:3" x14ac:dyDescent="0.45">
      <c r="A106" s="4" t="s">
        <v>81</v>
      </c>
      <c r="B106" s="4" t="s">
        <v>21</v>
      </c>
      <c r="C106" s="4">
        <v>109.2</v>
      </c>
    </row>
    <row r="107" spans="1:3" x14ac:dyDescent="0.45">
      <c r="A107" s="4" t="s">
        <v>81</v>
      </c>
      <c r="B107" s="4" t="s">
        <v>22</v>
      </c>
      <c r="C107" s="4">
        <v>116.8</v>
      </c>
    </row>
    <row r="108" spans="1:3" x14ac:dyDescent="0.45">
      <c r="A108" s="4" t="s">
        <v>30</v>
      </c>
      <c r="B108" s="4" t="s">
        <v>28</v>
      </c>
      <c r="C108" s="4">
        <v>73.900000000000006</v>
      </c>
    </row>
    <row r="109" spans="1:3" x14ac:dyDescent="0.45">
      <c r="A109" s="4" t="s">
        <v>30</v>
      </c>
      <c r="B109" s="4" t="s">
        <v>18</v>
      </c>
      <c r="C109" s="4">
        <v>80</v>
      </c>
    </row>
    <row r="110" spans="1:3" x14ac:dyDescent="0.45">
      <c r="A110" s="4" t="s">
        <v>30</v>
      </c>
      <c r="B110" s="4" t="s">
        <v>20</v>
      </c>
      <c r="C110" s="4">
        <v>86.1</v>
      </c>
    </row>
    <row r="111" spans="1:3" x14ac:dyDescent="0.45">
      <c r="A111" s="4" t="s">
        <v>30</v>
      </c>
      <c r="B111" s="4" t="s">
        <v>21</v>
      </c>
      <c r="C111" s="4">
        <v>93</v>
      </c>
    </row>
    <row r="112" spans="1:3" x14ac:dyDescent="0.45">
      <c r="A112" s="4" t="s">
        <v>30</v>
      </c>
      <c r="B112" s="4" t="s">
        <v>22</v>
      </c>
      <c r="C112" s="4">
        <v>101.1</v>
      </c>
    </row>
    <row r="113" spans="1:3" x14ac:dyDescent="0.45">
      <c r="A113" s="4" t="s">
        <v>30</v>
      </c>
      <c r="B113" s="4" t="s">
        <v>23</v>
      </c>
      <c r="C113" s="4">
        <v>110</v>
      </c>
    </row>
    <row r="114" spans="1:3" x14ac:dyDescent="0.45">
      <c r="A114" s="4" t="s">
        <v>38</v>
      </c>
      <c r="B114" s="4" t="s">
        <v>202</v>
      </c>
      <c r="C114" s="4">
        <v>72.900000000000006</v>
      </c>
    </row>
    <row r="115" spans="1:3" x14ac:dyDescent="0.45">
      <c r="A115" s="4" t="s">
        <v>38</v>
      </c>
      <c r="B115" s="4" t="s">
        <v>28</v>
      </c>
      <c r="C115" s="4">
        <v>77</v>
      </c>
    </row>
    <row r="116" spans="1:3" x14ac:dyDescent="0.45">
      <c r="A116" s="4" t="s">
        <v>38</v>
      </c>
      <c r="B116" s="4" t="s">
        <v>18</v>
      </c>
      <c r="C116" s="4">
        <v>81</v>
      </c>
    </row>
    <row r="117" spans="1:3" x14ac:dyDescent="0.45">
      <c r="A117" s="4" t="s">
        <v>38</v>
      </c>
      <c r="B117" s="4" t="s">
        <v>20</v>
      </c>
      <c r="C117" s="4">
        <v>86.1</v>
      </c>
    </row>
    <row r="118" spans="1:3" x14ac:dyDescent="0.45">
      <c r="A118" s="4" t="s">
        <v>38</v>
      </c>
      <c r="B118" s="4" t="s">
        <v>21</v>
      </c>
      <c r="C118" s="4">
        <v>90.9</v>
      </c>
    </row>
    <row r="119" spans="1:3" x14ac:dyDescent="0.45">
      <c r="A119" s="4" t="s">
        <v>38</v>
      </c>
      <c r="B119" s="4" t="s">
        <v>22</v>
      </c>
      <c r="C119" s="4">
        <v>96</v>
      </c>
    </row>
    <row r="120" spans="1:3" x14ac:dyDescent="0.45">
      <c r="A120" s="4" t="s">
        <v>38</v>
      </c>
      <c r="B120" s="4" t="s">
        <v>23</v>
      </c>
      <c r="C120" s="4">
        <v>102.1</v>
      </c>
    </row>
    <row r="121" spans="1:3" x14ac:dyDescent="0.45">
      <c r="A121" s="4" t="s">
        <v>48</v>
      </c>
      <c r="B121" s="4" t="s">
        <v>202</v>
      </c>
      <c r="C121" s="4">
        <v>75.900000000000006</v>
      </c>
    </row>
    <row r="122" spans="1:3" x14ac:dyDescent="0.45">
      <c r="A122" s="4" t="s">
        <v>48</v>
      </c>
      <c r="B122" s="4" t="s">
        <v>28</v>
      </c>
      <c r="C122" s="4">
        <v>82</v>
      </c>
    </row>
    <row r="123" spans="1:3" x14ac:dyDescent="0.45">
      <c r="A123" s="4" t="s">
        <v>48</v>
      </c>
      <c r="B123" s="4" t="s">
        <v>18</v>
      </c>
      <c r="C123" s="4">
        <v>87.6</v>
      </c>
    </row>
    <row r="124" spans="1:3" x14ac:dyDescent="0.45">
      <c r="A124" s="4" t="s">
        <v>48</v>
      </c>
      <c r="B124" s="4" t="s">
        <v>20</v>
      </c>
      <c r="C124" s="4">
        <v>95.5</v>
      </c>
    </row>
    <row r="125" spans="1:3" x14ac:dyDescent="0.45">
      <c r="A125" s="4" t="s">
        <v>48</v>
      </c>
      <c r="B125" s="4" t="s">
        <v>21</v>
      </c>
      <c r="C125" s="4">
        <v>105.4</v>
      </c>
    </row>
    <row r="126" spans="1:3" x14ac:dyDescent="0.45">
      <c r="A126" s="4" t="s">
        <v>48</v>
      </c>
      <c r="B126" s="4" t="s">
        <v>22</v>
      </c>
      <c r="C126" s="4">
        <v>111.8</v>
      </c>
    </row>
    <row r="127" spans="1:3" x14ac:dyDescent="0.45">
      <c r="A127" s="4" t="s">
        <v>48</v>
      </c>
      <c r="B127" s="4" t="s">
        <v>23</v>
      </c>
      <c r="C127" s="4">
        <v>119.6</v>
      </c>
    </row>
    <row r="128" spans="1:3" x14ac:dyDescent="0.45">
      <c r="A128" s="4" t="s">
        <v>56</v>
      </c>
      <c r="B128" s="4" t="s">
        <v>28</v>
      </c>
      <c r="C128" s="4">
        <v>76.2</v>
      </c>
    </row>
    <row r="129" spans="1:3" x14ac:dyDescent="0.45">
      <c r="A129" s="4" t="s">
        <v>56</v>
      </c>
      <c r="B129" s="4" t="s">
        <v>18</v>
      </c>
      <c r="C129" s="4">
        <v>81.3</v>
      </c>
    </row>
    <row r="130" spans="1:3" x14ac:dyDescent="0.45">
      <c r="A130" s="4" t="s">
        <v>56</v>
      </c>
      <c r="B130" s="4" t="s">
        <v>20</v>
      </c>
      <c r="C130" s="4">
        <v>86.4</v>
      </c>
    </row>
    <row r="131" spans="1:3" x14ac:dyDescent="0.45">
      <c r="A131" s="4" t="s">
        <v>56</v>
      </c>
      <c r="B131" s="4" t="s">
        <v>21</v>
      </c>
      <c r="C131" s="4">
        <v>91.4</v>
      </c>
    </row>
    <row r="132" spans="1:3" x14ac:dyDescent="0.45">
      <c r="A132" s="4" t="s">
        <v>56</v>
      </c>
      <c r="B132" s="4" t="s">
        <v>22</v>
      </c>
      <c r="C132" s="4">
        <v>96.5</v>
      </c>
    </row>
    <row r="133" spans="1:3" x14ac:dyDescent="0.45">
      <c r="A133" s="4" t="s">
        <v>56</v>
      </c>
      <c r="B133" s="4" t="s">
        <v>23</v>
      </c>
      <c r="C133" s="4">
        <v>109.2</v>
      </c>
    </row>
    <row r="134" spans="1:3" x14ac:dyDescent="0.45">
      <c r="A134" s="4" t="s">
        <v>56</v>
      </c>
      <c r="B134" s="4" t="s">
        <v>28</v>
      </c>
      <c r="C134" s="4">
        <v>71.099999999999994</v>
      </c>
    </row>
    <row r="135" spans="1:3" x14ac:dyDescent="0.45">
      <c r="A135" s="4" t="s">
        <v>56</v>
      </c>
      <c r="B135" s="4" t="s">
        <v>18</v>
      </c>
      <c r="C135" s="4">
        <v>76.2</v>
      </c>
    </row>
    <row r="136" spans="1:3" x14ac:dyDescent="0.45">
      <c r="A136" s="4" t="s">
        <v>56</v>
      </c>
      <c r="B136" s="4" t="s">
        <v>20</v>
      </c>
      <c r="C136" s="4">
        <v>81.3</v>
      </c>
    </row>
    <row r="137" spans="1:3" x14ac:dyDescent="0.45">
      <c r="A137" s="4" t="s">
        <v>56</v>
      </c>
      <c r="B137" s="4" t="s">
        <v>21</v>
      </c>
      <c r="C137" s="4">
        <v>86.4</v>
      </c>
    </row>
    <row r="138" spans="1:3" x14ac:dyDescent="0.45">
      <c r="A138" s="4" t="s">
        <v>56</v>
      </c>
      <c r="B138" s="4" t="s">
        <v>22</v>
      </c>
      <c r="C138" s="4">
        <v>91.4</v>
      </c>
    </row>
    <row r="139" spans="1:3" x14ac:dyDescent="0.45">
      <c r="A139" s="4" t="s">
        <v>67</v>
      </c>
      <c r="B139" s="4" t="s">
        <v>28</v>
      </c>
      <c r="C139" s="4">
        <v>101.6</v>
      </c>
    </row>
    <row r="140" spans="1:3" x14ac:dyDescent="0.45">
      <c r="A140" s="4" t="s">
        <v>67</v>
      </c>
      <c r="B140" s="4" t="s">
        <v>18</v>
      </c>
      <c r="C140" s="4">
        <v>106.7</v>
      </c>
    </row>
    <row r="141" spans="1:3" x14ac:dyDescent="0.45">
      <c r="A141" s="4" t="s">
        <v>67</v>
      </c>
      <c r="B141" s="4" t="s">
        <v>20</v>
      </c>
      <c r="C141" s="4">
        <v>111.8</v>
      </c>
    </row>
    <row r="142" spans="1:3" x14ac:dyDescent="0.45">
      <c r="A142" s="4" t="s">
        <v>67</v>
      </c>
      <c r="B142" s="4" t="s">
        <v>21</v>
      </c>
      <c r="C142" s="4">
        <v>116.8</v>
      </c>
    </row>
    <row r="143" spans="1:3" x14ac:dyDescent="0.45">
      <c r="A143" s="4" t="s">
        <v>67</v>
      </c>
      <c r="B143" s="4" t="s">
        <v>22</v>
      </c>
      <c r="C143" s="4">
        <v>121.9</v>
      </c>
    </row>
    <row r="144" spans="1:3" x14ac:dyDescent="0.45">
      <c r="A144" s="4" t="s">
        <v>97</v>
      </c>
      <c r="B144" s="4" t="s">
        <v>18</v>
      </c>
      <c r="C144" s="4">
        <v>86.4</v>
      </c>
    </row>
    <row r="145" spans="1:3" x14ac:dyDescent="0.45">
      <c r="A145" s="4" t="s">
        <v>97</v>
      </c>
      <c r="B145" s="4" t="s">
        <v>20</v>
      </c>
      <c r="C145" s="4">
        <v>91.4</v>
      </c>
    </row>
    <row r="146" spans="1:3" x14ac:dyDescent="0.45">
      <c r="A146" s="4" t="s">
        <v>97</v>
      </c>
      <c r="B146" s="4" t="s">
        <v>21</v>
      </c>
      <c r="C146" s="4">
        <v>96.5</v>
      </c>
    </row>
    <row r="147" spans="1:3" x14ac:dyDescent="0.45">
      <c r="A147" s="4" t="s">
        <v>97</v>
      </c>
      <c r="B147" s="4" t="s">
        <v>22</v>
      </c>
      <c r="C147" s="4">
        <v>101.6</v>
      </c>
    </row>
    <row r="148" spans="1:3" x14ac:dyDescent="0.45">
      <c r="A148" s="4" t="s">
        <v>97</v>
      </c>
      <c r="B148" s="4" t="s">
        <v>23</v>
      </c>
      <c r="C148" s="4">
        <v>106.7</v>
      </c>
    </row>
    <row r="149" spans="1:3" x14ac:dyDescent="0.45">
      <c r="A149" s="4" t="s">
        <v>97</v>
      </c>
      <c r="B149" s="4" t="s">
        <v>28</v>
      </c>
      <c r="C149" s="4">
        <v>86.4</v>
      </c>
    </row>
    <row r="150" spans="1:3" x14ac:dyDescent="0.45">
      <c r="A150" s="4" t="s">
        <v>97</v>
      </c>
      <c r="B150" s="4" t="s">
        <v>18</v>
      </c>
      <c r="C150" s="4">
        <v>91.4</v>
      </c>
    </row>
    <row r="151" spans="1:3" x14ac:dyDescent="0.45">
      <c r="A151" s="4" t="s">
        <v>97</v>
      </c>
      <c r="B151" s="4" t="s">
        <v>20</v>
      </c>
      <c r="C151" s="4">
        <v>96.5</v>
      </c>
    </row>
    <row r="152" spans="1:3" x14ac:dyDescent="0.45">
      <c r="A152" s="4" t="s">
        <v>97</v>
      </c>
      <c r="B152" s="4" t="s">
        <v>21</v>
      </c>
      <c r="C152" s="4">
        <v>101.6</v>
      </c>
    </row>
    <row r="153" spans="1:3" x14ac:dyDescent="0.45">
      <c r="A153" s="4" t="s">
        <v>97</v>
      </c>
      <c r="B153" s="4" t="s">
        <v>22</v>
      </c>
      <c r="C153" s="4">
        <v>106.7</v>
      </c>
    </row>
    <row r="154" spans="1:3" x14ac:dyDescent="0.45">
      <c r="A154" s="4" t="s">
        <v>97</v>
      </c>
      <c r="B154" s="4" t="s">
        <v>23</v>
      </c>
      <c r="C154" s="4">
        <v>111.8</v>
      </c>
    </row>
    <row r="155" spans="1:3" x14ac:dyDescent="0.45">
      <c r="A155" s="4" t="s">
        <v>48</v>
      </c>
      <c r="B155" s="4" t="s">
        <v>28</v>
      </c>
      <c r="C155" s="4">
        <v>80</v>
      </c>
    </row>
    <row r="156" spans="1:3" x14ac:dyDescent="0.45">
      <c r="A156" s="4" t="s">
        <v>48</v>
      </c>
      <c r="B156" s="4" t="s">
        <v>18</v>
      </c>
      <c r="C156" s="4">
        <v>85.9</v>
      </c>
    </row>
    <row r="157" spans="1:3" x14ac:dyDescent="0.45">
      <c r="A157" s="4" t="s">
        <v>48</v>
      </c>
      <c r="B157" s="4" t="s">
        <v>20</v>
      </c>
      <c r="C157" s="4">
        <v>93.5</v>
      </c>
    </row>
    <row r="158" spans="1:3" x14ac:dyDescent="0.45">
      <c r="A158" s="4" t="s">
        <v>48</v>
      </c>
      <c r="B158" s="4" t="s">
        <v>21</v>
      </c>
      <c r="C158" s="4">
        <v>101.9</v>
      </c>
    </row>
    <row r="159" spans="1:3" x14ac:dyDescent="0.45">
      <c r="A159" s="4" t="s">
        <v>48</v>
      </c>
      <c r="B159" s="4" t="s">
        <v>22</v>
      </c>
      <c r="C159" s="4">
        <v>112.8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60095-C1E9-4807-9B60-D6E837559162}">
  <dimension ref="A1:M22"/>
  <sheetViews>
    <sheetView workbookViewId="0">
      <selection activeCell="L23" sqref="L23"/>
    </sheetView>
  </sheetViews>
  <sheetFormatPr defaultRowHeight="14.25" x14ac:dyDescent="0.45"/>
  <cols>
    <col min="1" max="1" width="13.53125" bestFit="1" customWidth="1"/>
  </cols>
  <sheetData>
    <row r="1" spans="1:13" x14ac:dyDescent="0.45">
      <c r="A1" s="7" t="s">
        <v>0</v>
      </c>
      <c r="B1" s="7" t="s">
        <v>18</v>
      </c>
      <c r="C1" s="7" t="s">
        <v>20</v>
      </c>
      <c r="D1" s="7" t="s">
        <v>21</v>
      </c>
      <c r="E1" s="7" t="s">
        <v>22</v>
      </c>
      <c r="F1" s="7" t="s">
        <v>23</v>
      </c>
      <c r="G1" s="7" t="s">
        <v>43</v>
      </c>
      <c r="H1" s="7" t="s">
        <v>44</v>
      </c>
      <c r="I1" s="7" t="s">
        <v>254</v>
      </c>
      <c r="J1" s="7" t="s">
        <v>255</v>
      </c>
      <c r="K1" s="7" t="s">
        <v>256</v>
      </c>
      <c r="L1" s="7" t="s">
        <v>257</v>
      </c>
      <c r="M1" s="7"/>
    </row>
    <row r="2" spans="1:13" x14ac:dyDescent="0.45">
      <c r="A2" t="s">
        <v>81</v>
      </c>
      <c r="B2">
        <f>AVERAGEIFS(Brand_size_analysis!$C:$C, Brand_size_analysis!$A:$A, $A2, Brand_size_analysis!$B:$B, B$1)</f>
        <v>99.72</v>
      </c>
      <c r="C2">
        <f>AVERAGEIFS(Brand_size_analysis!$C:$C, Brand_size_analysis!$A:$A, $A2, Brand_size_analysis!$B:$B, C$1)</f>
        <v>105.54</v>
      </c>
      <c r="D2">
        <f>AVERAGEIFS(Brand_size_analysis!$C:$C, Brand_size_analysis!$A:$A, $A2, Brand_size_analysis!$B:$B, D$1)</f>
        <v>111.60000000000002</v>
      </c>
      <c r="E2">
        <f>AVERAGEIFS(Brand_size_analysis!$C:$C, Brand_size_analysis!$A:$A, $A2, Brand_size_analysis!$B:$B, E$1)</f>
        <v>118.2</v>
      </c>
      <c r="F2">
        <f>AVERAGEIFS(Brand_size_analysis!$C:$C, Brand_size_analysis!$A:$A, $A2, Brand_size_analysis!$B:$B, F$1)</f>
        <v>132.69999999999999</v>
      </c>
      <c r="I2">
        <f>_xlfn.STDEV.S(B2:H2)</f>
        <v>12.72376202229513</v>
      </c>
      <c r="J2" s="9">
        <f>I2/K2</f>
        <v>0.11205229341883129</v>
      </c>
      <c r="K2">
        <f>AVERAGE(B2:H2)</f>
        <v>113.55199999999999</v>
      </c>
      <c r="L2" t="str">
        <f>IF(J2&gt;0.15,"High Inconsistency","Acceptable")</f>
        <v>Acceptable</v>
      </c>
    </row>
    <row r="3" spans="1:13" x14ac:dyDescent="0.45">
      <c r="A3" t="s">
        <v>30</v>
      </c>
      <c r="B3">
        <f>AVERAGEIFS(Brand_size_analysis!$C:$C, Brand_size_analysis!$A:$A, $A3, Brand_size_analysis!$B:$B, B$1)</f>
        <v>91.05</v>
      </c>
      <c r="C3">
        <f>AVERAGEIFS(Brand_size_analysis!$C:$C, Brand_size_analysis!$A:$A, $A3, Brand_size_analysis!$B:$B, C$1)</f>
        <v>98</v>
      </c>
      <c r="D3">
        <f>AVERAGEIFS(Brand_size_analysis!$C:$C, Brand_size_analysis!$A:$A, $A3, Brand_size_analysis!$B:$B, D$1)</f>
        <v>105.55</v>
      </c>
      <c r="E3">
        <f>AVERAGEIFS(Brand_size_analysis!$C:$C, Brand_size_analysis!$A:$A, $A3, Brand_size_analysis!$B:$B, E$1)</f>
        <v>114.55</v>
      </c>
      <c r="F3">
        <f>AVERAGEIFS(Brand_size_analysis!$C:$C, Brand_size_analysis!$A:$A, $A3, Brand_size_analysis!$B:$B, F$1)</f>
        <v>124.95</v>
      </c>
      <c r="I3">
        <f t="shared" ref="I3:I9" si="0">_xlfn.STDEV.S(B3:H3)</f>
        <v>13.384207111368257</v>
      </c>
      <c r="J3" s="9">
        <f t="shared" ref="J3:J9" si="1">I3/K3</f>
        <v>0.12529682747957552</v>
      </c>
      <c r="K3">
        <f t="shared" ref="K3:K9" si="2">AVERAGE(B3:H3)</f>
        <v>106.82000000000001</v>
      </c>
      <c r="L3" t="str">
        <f t="shared" ref="L3:L9" si="3">IF(J3&gt;0.15,"High Inconsistency","Acceptable")</f>
        <v>Acceptable</v>
      </c>
    </row>
    <row r="4" spans="1:13" x14ac:dyDescent="0.45">
      <c r="A4" t="s">
        <v>38</v>
      </c>
      <c r="B4">
        <f>AVERAGEIFS(Brand_size_analysis!$C:$C, Brand_size_analysis!$A:$A, $A4, Brand_size_analysis!$B:$B, B$1)</f>
        <v>91.033333333333346</v>
      </c>
      <c r="C4">
        <f>AVERAGEIFS(Brand_size_analysis!$C:$C, Brand_size_analysis!$A:$A, $A4, Brand_size_analysis!$B:$B, C$1)</f>
        <v>98.033333333333346</v>
      </c>
      <c r="D4">
        <f>AVERAGEIFS(Brand_size_analysis!$C:$C, Brand_size_analysis!$A:$A, $A4, Brand_size_analysis!$B:$B, D$1)</f>
        <v>105</v>
      </c>
      <c r="E4">
        <f>AVERAGEIFS(Brand_size_analysis!$C:$C, Brand_size_analysis!$A:$A, $A4, Brand_size_analysis!$B:$B, E$1)</f>
        <v>113.36666666666667</v>
      </c>
      <c r="F4">
        <f>AVERAGEIFS(Brand_size_analysis!$C:$C, Brand_size_analysis!$A:$A, $A4, Brand_size_analysis!$B:$B, F$1)</f>
        <v>122</v>
      </c>
      <c r="G4">
        <f>AVERAGEIFS(Brand_size_analysis!$C:$C, Brand_size_analysis!$A:$A, $A4, Brand_size_analysis!$B:$B, G$1)</f>
        <v>138.9</v>
      </c>
      <c r="H4">
        <f>AVERAGEIFS(Brand_size_analysis!$C:$C, Brand_size_analysis!$A:$A, $A4, Brand_size_analysis!$B:$B, H$1)</f>
        <v>149.1</v>
      </c>
      <c r="I4">
        <f t="shared" si="0"/>
        <v>21.314598668567843</v>
      </c>
      <c r="J4" s="9">
        <f t="shared" si="1"/>
        <v>0.18252520981932255</v>
      </c>
      <c r="K4">
        <f t="shared" si="2"/>
        <v>116.77619047619048</v>
      </c>
      <c r="L4" t="str">
        <f t="shared" si="3"/>
        <v>High Inconsistency</v>
      </c>
    </row>
    <row r="5" spans="1:13" x14ac:dyDescent="0.45">
      <c r="A5" t="s">
        <v>48</v>
      </c>
      <c r="B5">
        <f>AVERAGEIFS(Brand_size_analysis!$C:$C, Brand_size_analysis!$A:$A, $A5, Brand_size_analysis!$B:$B, B$1)</f>
        <v>88.4</v>
      </c>
      <c r="C5">
        <f>AVERAGEIFS(Brand_size_analysis!$C:$C, Brand_size_analysis!$A:$A, $A5, Brand_size_analysis!$B:$B, C$1)</f>
        <v>96.325000000000003</v>
      </c>
      <c r="D5">
        <f>AVERAGEIFS(Brand_size_analysis!$C:$C, Brand_size_analysis!$A:$A, $A5, Brand_size_analysis!$B:$B, D$1)</f>
        <v>104.85</v>
      </c>
      <c r="E5">
        <f>AVERAGEIFS(Brand_size_analysis!$C:$C, Brand_size_analysis!$A:$A, $A5, Brand_size_analysis!$B:$B, E$1)</f>
        <v>113</v>
      </c>
      <c r="F5">
        <f>AVERAGEIFS(Brand_size_analysis!$C:$C, Brand_size_analysis!$A:$A, $A5, Brand_size_analysis!$B:$B, F$1)</f>
        <v>121.23333333333333</v>
      </c>
      <c r="I5">
        <f t="shared" si="0"/>
        <v>13.019938769270523</v>
      </c>
      <c r="J5" s="9">
        <f t="shared" si="1"/>
        <v>0.12428151616466443</v>
      </c>
      <c r="K5">
        <f t="shared" si="2"/>
        <v>104.76166666666668</v>
      </c>
      <c r="L5" t="str">
        <f t="shared" si="3"/>
        <v>Acceptable</v>
      </c>
    </row>
    <row r="6" spans="1:13" x14ac:dyDescent="0.45">
      <c r="A6" t="s">
        <v>56</v>
      </c>
      <c r="B6">
        <f>AVERAGEIFS(Brand_size_analysis!$C:$C, Brand_size_analysis!$A:$A, $A6, Brand_size_analysis!$B:$B, B$1)</f>
        <v>91.216666666666683</v>
      </c>
      <c r="C6">
        <f>AVERAGEIFS(Brand_size_analysis!$C:$C, Brand_size_analysis!$A:$A, $A6, Brand_size_analysis!$B:$B, C$1)</f>
        <v>97.5</v>
      </c>
      <c r="D6">
        <f>AVERAGEIFS(Brand_size_analysis!$C:$C, Brand_size_analysis!$A:$A, $A6, Brand_size_analysis!$B:$B, D$1)</f>
        <v>103.43333333333334</v>
      </c>
      <c r="E6">
        <f>AVERAGEIFS(Brand_size_analysis!$C:$C, Brand_size_analysis!$A:$A, $A6, Brand_size_analysis!$B:$B, E$1)</f>
        <v>109.75</v>
      </c>
      <c r="F6">
        <f>AVERAGEIFS(Brand_size_analysis!$C:$C, Brand_size_analysis!$A:$A, $A6, Brand_size_analysis!$B:$B, F$1)</f>
        <v>119.63333333333334</v>
      </c>
      <c r="G6">
        <f>AVERAGEIFS(Brand_size_analysis!$C:$C, Brand_size_analysis!$A:$A, $A6, Brand_size_analysis!$B:$B, G$1)</f>
        <v>127</v>
      </c>
      <c r="I6">
        <f t="shared" si="0"/>
        <v>13.506548480342826</v>
      </c>
      <c r="J6" s="9">
        <f t="shared" si="1"/>
        <v>0.12495778816106642</v>
      </c>
      <c r="K6">
        <f t="shared" si="2"/>
        <v>108.0888888888889</v>
      </c>
      <c r="L6" t="str">
        <f t="shared" si="3"/>
        <v>Acceptable</v>
      </c>
    </row>
    <row r="7" spans="1:13" x14ac:dyDescent="0.45">
      <c r="A7" t="s">
        <v>67</v>
      </c>
      <c r="B7">
        <f>AVERAGEIFS(Brand_size_analysis!$C:$C, Brand_size_analysis!$A:$A, $A7, Brand_size_analysis!$B:$B, B$1)</f>
        <v>101.16666666666667</v>
      </c>
      <c r="C7">
        <f>AVERAGEIFS(Brand_size_analysis!$C:$C, Brand_size_analysis!$A:$A, $A7, Brand_size_analysis!$B:$B, C$1)</f>
        <v>106.93333333333334</v>
      </c>
      <c r="D7">
        <f>AVERAGEIFS(Brand_size_analysis!$C:$C, Brand_size_analysis!$A:$A, $A7, Brand_size_analysis!$B:$B, D$1)</f>
        <v>112.86666666666667</v>
      </c>
      <c r="E7">
        <f>AVERAGEIFS(Brand_size_analysis!$C:$C, Brand_size_analysis!$A:$A, $A7, Brand_size_analysis!$B:$B, E$1)</f>
        <v>118.8</v>
      </c>
      <c r="I7">
        <f t="shared" si="0"/>
        <v>7.5955335315979999</v>
      </c>
      <c r="J7" s="9">
        <f t="shared" si="1"/>
        <v>6.9086941847325084E-2</v>
      </c>
      <c r="K7">
        <f t="shared" si="2"/>
        <v>109.94166666666668</v>
      </c>
      <c r="L7" t="str">
        <f t="shared" si="3"/>
        <v>Acceptable</v>
      </c>
    </row>
    <row r="8" spans="1:13" x14ac:dyDescent="0.45">
      <c r="A8" s="4" t="s">
        <v>74</v>
      </c>
      <c r="B8">
        <f>AVERAGEIFS(Brand_size_analysis!$C:$C, Brand_size_analysis!$A:$A, $A8, Brand_size_analysis!$B:$B, B$1)</f>
        <v>102.6</v>
      </c>
      <c r="C8">
        <f>AVERAGEIFS(Brand_size_analysis!$C:$C, Brand_size_analysis!$A:$A, $A8, Brand_size_analysis!$B:$B, C$1)</f>
        <v>107.7</v>
      </c>
      <c r="D8">
        <f>AVERAGEIFS(Brand_size_analysis!$C:$C, Brand_size_analysis!$A:$A, $A8, Brand_size_analysis!$B:$B, D$1)</f>
        <v>112.8</v>
      </c>
      <c r="E8">
        <f>AVERAGEIFS(Brand_size_analysis!$C:$C, Brand_size_analysis!$A:$A, $A8, Brand_size_analysis!$B:$B, E$1)</f>
        <v>119.15</v>
      </c>
      <c r="F8">
        <f>AVERAGEIFS(Brand_size_analysis!$C:$C, Brand_size_analysis!$A:$A, $A8, Brand_size_analysis!$B:$B, F$1)</f>
        <v>125.5</v>
      </c>
      <c r="I8">
        <f t="shared" si="0"/>
        <v>9.0671108959800435</v>
      </c>
      <c r="J8" s="9">
        <f t="shared" si="1"/>
        <v>7.9851262844386123E-2</v>
      </c>
      <c r="K8">
        <f t="shared" si="2"/>
        <v>113.55</v>
      </c>
      <c r="L8" t="str">
        <f t="shared" si="3"/>
        <v>Acceptable</v>
      </c>
    </row>
    <row r="9" spans="1:13" x14ac:dyDescent="0.45">
      <c r="A9" s="4" t="s">
        <v>97</v>
      </c>
      <c r="B9">
        <f>AVERAGEIFS(Brand_size_analysis!$C:$C, Brand_size_analysis!$A:$A, $A9, Brand_size_analysis!$B:$B, B$1)</f>
        <v>93.133333333333326</v>
      </c>
      <c r="C9">
        <f>AVERAGEIFS(Brand_size_analysis!$C:$C, Brand_size_analysis!$A:$A, $A9, Brand_size_analysis!$B:$B, C$1)</f>
        <v>99.050000000000011</v>
      </c>
      <c r="D9">
        <f>AVERAGEIFS(Brand_size_analysis!$C:$C, Brand_size_analysis!$A:$A, $A9, Brand_size_analysis!$B:$B, D$1)</f>
        <v>104.15</v>
      </c>
      <c r="E9">
        <f>AVERAGEIFS(Brand_size_analysis!$C:$C, Brand_size_analysis!$A:$A, $A9, Brand_size_analysis!$B:$B, E$1)</f>
        <v>109.22499999999999</v>
      </c>
      <c r="F9">
        <f>AVERAGEIFS(Brand_size_analysis!$C:$C, Brand_size_analysis!$A:$A, $A9, Brand_size_analysis!$B:$B, F$1)</f>
        <v>114.33333333333333</v>
      </c>
      <c r="I9">
        <f t="shared" si="0"/>
        <v>8.316933028466682</v>
      </c>
      <c r="J9" s="9">
        <f t="shared" si="1"/>
        <v>7.9987173883661791E-2</v>
      </c>
      <c r="K9">
        <f t="shared" si="2"/>
        <v>103.97833333333335</v>
      </c>
      <c r="L9" t="str">
        <f t="shared" si="3"/>
        <v>Acceptable</v>
      </c>
    </row>
    <row r="14" spans="1:13" x14ac:dyDescent="0.45">
      <c r="A14" s="7" t="s">
        <v>0</v>
      </c>
      <c r="B14" s="7" t="s">
        <v>255</v>
      </c>
    </row>
    <row r="15" spans="1:13" x14ac:dyDescent="0.45">
      <c r="A15" t="s">
        <v>38</v>
      </c>
      <c r="B15" s="9">
        <v>0.1825</v>
      </c>
    </row>
    <row r="16" spans="1:13" x14ac:dyDescent="0.45">
      <c r="A16" t="s">
        <v>30</v>
      </c>
      <c r="B16" s="9">
        <v>0.12529999999999999</v>
      </c>
    </row>
    <row r="17" spans="1:2" x14ac:dyDescent="0.45">
      <c r="A17" t="s">
        <v>56</v>
      </c>
      <c r="B17" s="9">
        <v>0.125</v>
      </c>
    </row>
    <row r="18" spans="1:2" x14ac:dyDescent="0.45">
      <c r="A18" t="s">
        <v>48</v>
      </c>
      <c r="B18" s="9">
        <v>0.12429999999999999</v>
      </c>
    </row>
    <row r="19" spans="1:2" x14ac:dyDescent="0.45">
      <c r="A19" t="s">
        <v>81</v>
      </c>
      <c r="B19" s="9">
        <v>0.11210000000000001</v>
      </c>
    </row>
    <row r="20" spans="1:2" x14ac:dyDescent="0.45">
      <c r="A20" t="s">
        <v>97</v>
      </c>
      <c r="B20" s="9">
        <v>0.08</v>
      </c>
    </row>
    <row r="21" spans="1:2" x14ac:dyDescent="0.45">
      <c r="A21" t="s">
        <v>74</v>
      </c>
      <c r="B21" s="9">
        <v>7.9899999999999999E-2</v>
      </c>
    </row>
    <row r="22" spans="1:2" x14ac:dyDescent="0.45">
      <c r="A22" t="s">
        <v>67</v>
      </c>
      <c r="B22" s="9">
        <v>6.9099999999999995E-2</v>
      </c>
    </row>
  </sheetData>
  <autoFilter ref="A14:B22" xr:uid="{D5860095-C1E9-4807-9B60-D6E837559162}">
    <sortState xmlns:xlrd2="http://schemas.microsoft.com/office/spreadsheetml/2017/richdata2" ref="A15:B22">
      <sortCondition descending="1" ref="B14:B22"/>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Size_Charts</vt:lpstr>
      <vt:lpstr>Reviews</vt:lpstr>
      <vt:lpstr>Comparitive_analysis</vt:lpstr>
      <vt:lpstr>Brand_size_analysis</vt:lpstr>
      <vt:lpstr>Brand_size_avg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Naveen Vignesh</cp:lastModifiedBy>
  <cp:lastPrinted>2026-01-29T16:43:10Z</cp:lastPrinted>
  <dcterms:created xsi:type="dcterms:W3CDTF">2026-01-27T05:05:57Z</dcterms:created>
  <dcterms:modified xsi:type="dcterms:W3CDTF">2026-01-29T16:43:37Z</dcterms:modified>
</cp:coreProperties>
</file>